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结果" sheetId="1" r:id="rId1"/>
    <sheet name="LN(COD) - LN(GDP总）" sheetId="4" r:id="rId2"/>
    <sheet name="滞后一期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<sst xmlns="http://schemas.openxmlformats.org/spreadsheetml/2006/main" count="526" uniqueCount="33">
  <si>
    <t>地区</t>
  </si>
  <si>
    <t>时间</t>
  </si>
  <si>
    <t>工业废水排放总量（万吨）</t>
  </si>
  <si>
    <t>人口密度</t>
  </si>
  <si>
    <t>R&amp;D占GDP比重</t>
  </si>
  <si>
    <t>港口货物吞吐量（万吨）</t>
  </si>
  <si>
    <t>工业污染治理完成投资额（亿元）</t>
  </si>
  <si>
    <t>人均地区生产总值（元）</t>
  </si>
  <si>
    <t>第二产业增加值占GDP比重</t>
  </si>
  <si>
    <t>环境规制强度</t>
  </si>
  <si>
    <t>海水养殖面积（公顷）</t>
  </si>
  <si>
    <t>化学需氧量排放量(万吨)</t>
  </si>
  <si>
    <t>氨氮排放量(万吨)</t>
  </si>
  <si>
    <t>总氮排放量(万吨)</t>
  </si>
  <si>
    <t>城镇化率</t>
  </si>
  <si>
    <t>地区总GDP</t>
  </si>
  <si>
    <t>天津</t>
  </si>
  <si>
    <t>河北</t>
  </si>
  <si>
    <t>辽宁</t>
  </si>
  <si>
    <t>上海</t>
  </si>
  <si>
    <t>江苏</t>
  </si>
  <si>
    <t>浙江</t>
  </si>
  <si>
    <t>福建</t>
  </si>
  <si>
    <t>山东</t>
  </si>
  <si>
    <t>广东</t>
  </si>
  <si>
    <t>广西</t>
  </si>
  <si>
    <t>海南</t>
  </si>
  <si>
    <t>总人口（万人）</t>
  </si>
  <si>
    <r>
      <rPr>
        <sz val="10"/>
        <rFont val="宋体"/>
        <charset val="134"/>
      </rPr>
      <t>地区总</t>
    </r>
    <r>
      <rPr>
        <sz val="10"/>
        <rFont val="Arial"/>
        <charset val="134"/>
      </rPr>
      <t>GDP</t>
    </r>
  </si>
  <si>
    <r>
      <rPr>
        <sz val="10"/>
        <rFont val="Arial"/>
        <charset val="134"/>
      </rPr>
      <t>LN(COD) - LN(GDP</t>
    </r>
    <r>
      <rPr>
        <sz val="10"/>
        <rFont val="宋体"/>
        <charset val="134"/>
      </rPr>
      <t>总）</t>
    </r>
  </si>
  <si>
    <r>
      <rPr>
        <sz val="10"/>
        <rFont val="微软雅黑"/>
        <charset val="134"/>
      </rPr>
      <t>地区总</t>
    </r>
    <r>
      <rPr>
        <sz val="10"/>
        <rFont val="Arial"/>
        <charset val="134"/>
      </rPr>
      <t xml:space="preserve">GDP
</t>
    </r>
    <r>
      <rPr>
        <sz val="10"/>
        <rFont val="宋体"/>
        <charset val="134"/>
      </rPr>
      <t>（万元）</t>
    </r>
  </si>
  <si>
    <t>LN(COD) - LN(GDP总）</t>
  </si>
  <si>
    <t>滞后一期：
工业污染治理完成投资额（亿元）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</si>
</sst>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6">
    <font>
      <sz val="10"/>
      <name val="Arial"/>
      <charset val="134"/>
    </font>
    <font>
      <sz val="10"/>
      <name val="宋体"/>
      <charset val="134"/>
    </font>
    <font>
      <sz val="10.5"/>
      <color rgb="FF1F1F1F"/>
      <name val="宋体"/>
      <charset val="134"/>
    </font>
    <font>
      <sz val="10.5"/>
      <color rgb="FF1F1F1F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6"/>
  <sheetViews>
    <sheetView zoomScale="85" zoomScaleNormal="85" workbookViewId="0">
      <selection activeCell="G2" sqref="G2"/>
    </sheetView>
  </sheetViews>
  <sheetFormatPr defaultColWidth="9.18181818181818" defaultRowHeight="12.5"/>
  <cols>
    <col min="7" max="7" width="12.4545454545455" customWidth="1"/>
    <col min="11" max="11" width="20.1818181818182" customWidth="1"/>
    <col min="12" max="12" width="22" customWidth="1"/>
    <col min="13" max="14" width="16" customWidth="1"/>
    <col min="15" max="15" width="21.6363636363636" customWidth="1"/>
    <col min="16" max="17" width="15.7272727272727" customWidth="1"/>
  </cols>
  <sheetData>
    <row r="1" ht="39" spans="1:16">
      <c r="A1" s="8" t="s">
        <v>0</v>
      </c>
      <c r="B1" s="8" t="s">
        <v>1</v>
      </c>
      <c r="C1" s="8" t="s">
        <v>2</v>
      </c>
      <c r="D1" s="10" t="s">
        <v>3</v>
      </c>
      <c r="E1" s="11" t="s">
        <v>4</v>
      </c>
      <c r="F1" s="12" t="s">
        <v>5</v>
      </c>
      <c r="G1" s="12" t="s">
        <v>6</v>
      </c>
      <c r="H1" s="8" t="s">
        <v>7</v>
      </c>
      <c r="I1" s="13" t="s">
        <v>8</v>
      </c>
      <c r="J1" s="13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9" t="s">
        <v>15</v>
      </c>
    </row>
    <row r="2" spans="1:16">
      <c r="A2" t="s">
        <v>16</v>
      </c>
      <c r="B2">
        <v>2010</v>
      </c>
      <c r="C2">
        <v>19680</v>
      </c>
      <c r="D2">
        <v>9.05311778290993</v>
      </c>
      <c r="E2">
        <v>0.0180282155631152</v>
      </c>
      <c r="F2">
        <v>41325</v>
      </c>
      <c r="G2">
        <v>16.46835</v>
      </c>
      <c r="H2">
        <v>72994</v>
      </c>
      <c r="I2">
        <v>0.524716893997047</v>
      </c>
      <c r="J2">
        <v>0.00178529149673802</v>
      </c>
      <c r="K2">
        <v>3982</v>
      </c>
      <c r="L2" s="6">
        <v>13.2</v>
      </c>
      <c r="M2" s="6">
        <v>1.98</v>
      </c>
      <c r="N2" s="6">
        <v>3.61</v>
      </c>
      <c r="O2" s="6">
        <v>79.55</v>
      </c>
      <c r="P2" s="5">
        <v>94819206</v>
      </c>
    </row>
    <row r="3" spans="1:16">
      <c r="A3" t="s">
        <v>16</v>
      </c>
      <c r="B3">
        <v>2011</v>
      </c>
      <c r="C3">
        <v>19795</v>
      </c>
      <c r="D3">
        <v>8.76957494407159</v>
      </c>
      <c r="E3">
        <v>0.018640836699896</v>
      </c>
      <c r="F3">
        <v>45338</v>
      </c>
      <c r="G3">
        <v>15.28485</v>
      </c>
      <c r="H3">
        <v>85213</v>
      </c>
      <c r="I3">
        <v>0.524292314332006</v>
      </c>
      <c r="J3">
        <v>0.00135177071762617</v>
      </c>
      <c r="K3">
        <v>4110</v>
      </c>
      <c r="L3" s="6">
        <v>23.58</v>
      </c>
      <c r="M3" s="6">
        <v>2.64</v>
      </c>
      <c r="N3" s="6">
        <v>3.67</v>
      </c>
      <c r="O3" s="6">
        <v>80.43</v>
      </c>
      <c r="P3" s="5">
        <v>114270633</v>
      </c>
    </row>
    <row r="4" spans="1:16">
      <c r="A4" t="s">
        <v>16</v>
      </c>
      <c r="B4">
        <v>2012</v>
      </c>
      <c r="C4">
        <v>19117</v>
      </c>
      <c r="D4">
        <v>8.53410740203193</v>
      </c>
      <c r="E4">
        <v>0.0198441787886967</v>
      </c>
      <c r="F4">
        <v>47697</v>
      </c>
      <c r="G4">
        <v>12.55586</v>
      </c>
      <c r="H4">
        <v>93173</v>
      </c>
      <c r="I4">
        <v>0.516820383003409</v>
      </c>
      <c r="J4">
        <v>0.000973784462085889</v>
      </c>
      <c r="K4">
        <v>3992</v>
      </c>
      <c r="L4" s="6">
        <v>22.94</v>
      </c>
      <c r="M4" s="6">
        <v>2.54</v>
      </c>
      <c r="N4" s="6">
        <v>3.29</v>
      </c>
      <c r="O4" s="6">
        <v>81.55</v>
      </c>
      <c r="P4" s="5">
        <v>128392394</v>
      </c>
    </row>
    <row r="5" spans="1:16">
      <c r="A5" t="s">
        <v>16</v>
      </c>
      <c r="B5">
        <v>2013</v>
      </c>
      <c r="C5">
        <v>18692</v>
      </c>
      <c r="D5">
        <v>8.45177304964539</v>
      </c>
      <c r="E5">
        <v>0.0207753435982941</v>
      </c>
      <c r="F5">
        <v>50063</v>
      </c>
      <c r="G5">
        <v>14.83658</v>
      </c>
      <c r="H5">
        <v>100105</v>
      </c>
      <c r="I5">
        <v>0.503855072804963</v>
      </c>
      <c r="J5">
        <v>0.00102732098925288</v>
      </c>
      <c r="K5">
        <v>3169</v>
      </c>
      <c r="L5" s="6">
        <v>22.15</v>
      </c>
      <c r="M5" s="6">
        <v>2.47</v>
      </c>
      <c r="N5" s="6">
        <v>3.61</v>
      </c>
      <c r="O5" s="6">
        <v>82.29</v>
      </c>
      <c r="P5" s="5">
        <v>141148050</v>
      </c>
    </row>
    <row r="6" spans="1:16">
      <c r="A6" t="s">
        <v>16</v>
      </c>
      <c r="B6">
        <v>2014</v>
      </c>
      <c r="C6">
        <v>19011</v>
      </c>
      <c r="D6">
        <v>8.33939818054584</v>
      </c>
      <c r="E6">
        <v>0.0205256652124731</v>
      </c>
      <c r="F6">
        <v>54002</v>
      </c>
      <c r="G6">
        <v>22.1</v>
      </c>
      <c r="H6">
        <v>105231</v>
      </c>
      <c r="I6">
        <v>0.491631233813592</v>
      </c>
      <c r="J6">
        <v>0.00140523293484488</v>
      </c>
      <c r="K6">
        <v>3180</v>
      </c>
      <c r="L6" s="6">
        <v>21.43</v>
      </c>
      <c r="M6" s="6">
        <v>2.45</v>
      </c>
      <c r="N6" s="6">
        <v>3.68</v>
      </c>
      <c r="O6" s="6">
        <v>82.55</v>
      </c>
      <c r="P6" s="5">
        <v>150375099</v>
      </c>
    </row>
    <row r="7" spans="1:16">
      <c r="A7" t="s">
        <v>16</v>
      </c>
      <c r="B7">
        <v>2015</v>
      </c>
      <c r="C7">
        <v>18973</v>
      </c>
      <c r="D7">
        <v>8.28144544822794</v>
      </c>
      <c r="E7">
        <v>0.0213243716513113</v>
      </c>
      <c r="F7">
        <v>54051</v>
      </c>
      <c r="G7">
        <v>24</v>
      </c>
      <c r="H7">
        <v>107960.0883</v>
      </c>
      <c r="I7">
        <v>0.465844206651393</v>
      </c>
      <c r="J7">
        <v>0.00145118661715702</v>
      </c>
      <c r="K7">
        <v>3165</v>
      </c>
      <c r="L7" s="6">
        <v>20.91</v>
      </c>
      <c r="M7" s="6">
        <v>2.38</v>
      </c>
      <c r="N7" s="6">
        <v>3.6</v>
      </c>
      <c r="O7" s="6">
        <v>82.88</v>
      </c>
      <c r="P7" s="5">
        <v>155354567.0637</v>
      </c>
    </row>
    <row r="8" spans="1:16">
      <c r="A8" t="s">
        <v>16</v>
      </c>
      <c r="B8">
        <v>2016</v>
      </c>
      <c r="C8">
        <v>18022</v>
      </c>
      <c r="D8">
        <v>8.25848925848926</v>
      </c>
      <c r="E8">
        <v>0.0195665316775312</v>
      </c>
      <c r="F8">
        <v>55056</v>
      </c>
      <c r="G8">
        <v>10.4</v>
      </c>
      <c r="H8">
        <v>115053</v>
      </c>
      <c r="I8">
        <v>0.423325966053857</v>
      </c>
      <c r="J8">
        <v>0.000581480191374077</v>
      </c>
      <c r="K8">
        <v>8999</v>
      </c>
      <c r="L8" s="6">
        <v>4.8</v>
      </c>
      <c r="M8" s="6">
        <v>0.18</v>
      </c>
      <c r="N8" s="6">
        <v>1</v>
      </c>
      <c r="O8" s="6">
        <v>83.27</v>
      </c>
      <c r="P8" s="5">
        <v>166021479</v>
      </c>
    </row>
    <row r="9" spans="1:16">
      <c r="A9" t="s">
        <v>16</v>
      </c>
      <c r="B9">
        <v>2017</v>
      </c>
      <c r="C9">
        <v>18106</v>
      </c>
      <c r="D9">
        <v>8.45177304964539</v>
      </c>
      <c r="E9">
        <v>0.0130001256119539</v>
      </c>
      <c r="F9">
        <v>50056</v>
      </c>
      <c r="G9">
        <v>7.8305</v>
      </c>
      <c r="H9">
        <v>118943.5683</v>
      </c>
      <c r="I9">
        <v>0.409375992698333</v>
      </c>
      <c r="J9">
        <v>0.000422147813462475</v>
      </c>
      <c r="K9">
        <v>3206</v>
      </c>
      <c r="L9" s="6">
        <v>4.43</v>
      </c>
      <c r="M9" s="6">
        <v>0.18</v>
      </c>
      <c r="N9" s="6">
        <v>1.32</v>
      </c>
      <c r="O9" s="6">
        <v>83.57</v>
      </c>
      <c r="P9" s="5">
        <v>167710431.303</v>
      </c>
    </row>
    <row r="10" spans="1:16">
      <c r="A10" t="s">
        <v>16</v>
      </c>
      <c r="B10">
        <v>2018</v>
      </c>
      <c r="C10">
        <v>17729</v>
      </c>
      <c r="D10">
        <v>8.50325379609544</v>
      </c>
      <c r="E10">
        <v>0.0134439627765337</v>
      </c>
      <c r="F10">
        <v>50774</v>
      </c>
      <c r="G10">
        <v>13.747225</v>
      </c>
      <c r="H10">
        <v>120710.8019</v>
      </c>
      <c r="I10">
        <v>0.404569678101229</v>
      </c>
      <c r="J10">
        <v>0.000730860611899005</v>
      </c>
      <c r="K10">
        <v>2759</v>
      </c>
      <c r="L10" s="6">
        <v>4.17</v>
      </c>
      <c r="M10" s="6">
        <v>0.18</v>
      </c>
      <c r="N10" s="6">
        <v>1.26</v>
      </c>
      <c r="O10" s="6">
        <v>83.95</v>
      </c>
      <c r="P10" s="5">
        <v>166943039.0277</v>
      </c>
    </row>
    <row r="11" spans="1:16">
      <c r="A11" t="s">
        <v>16</v>
      </c>
      <c r="B11">
        <v>2019</v>
      </c>
      <c r="C11">
        <v>17905.39</v>
      </c>
      <c r="D11">
        <v>8.64043321299639</v>
      </c>
      <c r="E11">
        <v>0.0151324293051471</v>
      </c>
      <c r="F11">
        <v>49220</v>
      </c>
      <c r="G11">
        <v>12.5944</v>
      </c>
      <c r="H11">
        <v>90370.63</v>
      </c>
      <c r="I11">
        <v>0.352317168972822</v>
      </c>
      <c r="J11">
        <v>0.000892948807028788</v>
      </c>
      <c r="K11">
        <v>813</v>
      </c>
      <c r="L11" s="6">
        <v>3.78</v>
      </c>
      <c r="M11" s="6">
        <v>0.17</v>
      </c>
      <c r="N11" s="6">
        <v>1.14</v>
      </c>
      <c r="O11" s="6">
        <v>84.31</v>
      </c>
      <c r="P11" s="5">
        <v>125163322.55</v>
      </c>
    </row>
    <row r="12" spans="1:16">
      <c r="A12" t="s">
        <v>16</v>
      </c>
      <c r="B12">
        <v>2020</v>
      </c>
      <c r="C12">
        <v>11160.3</v>
      </c>
      <c r="D12">
        <v>8.62797404470079</v>
      </c>
      <c r="E12">
        <v>0.0162436889943218</v>
      </c>
      <c r="F12">
        <v>50290</v>
      </c>
      <c r="G12">
        <v>7.4511</v>
      </c>
      <c r="H12">
        <v>101614</v>
      </c>
      <c r="I12">
        <v>0.341108498955887</v>
      </c>
      <c r="J12">
        <v>0.000529057288090584</v>
      </c>
      <c r="K12">
        <v>975</v>
      </c>
      <c r="L12" s="6">
        <v>15.63</v>
      </c>
      <c r="M12" s="6">
        <v>0.26</v>
      </c>
      <c r="N12" s="6">
        <v>1.69</v>
      </c>
      <c r="O12" s="6">
        <v>84.7</v>
      </c>
      <c r="P12" s="5">
        <v>140938618</v>
      </c>
    </row>
    <row r="13" spans="1:16">
      <c r="A13" t="s">
        <v>16</v>
      </c>
      <c r="B13">
        <v>2021</v>
      </c>
      <c r="C13">
        <v>11014.9</v>
      </c>
      <c r="D13">
        <v>8.71595047341588</v>
      </c>
      <c r="E13">
        <v>0.0160091404906021</v>
      </c>
      <c r="F13">
        <v>52954</v>
      </c>
      <c r="G13">
        <v>1.00756</v>
      </c>
      <c r="H13">
        <v>113732</v>
      </c>
      <c r="I13">
        <v>0.37300414144632</v>
      </c>
      <c r="J13">
        <v>6.41962408410322e-5</v>
      </c>
      <c r="K13">
        <v>971</v>
      </c>
      <c r="L13" s="6">
        <v>15.52</v>
      </c>
      <c r="M13" s="6">
        <v>0.25</v>
      </c>
      <c r="N13" s="6">
        <v>1.72</v>
      </c>
      <c r="O13" s="6">
        <v>84.88</v>
      </c>
      <c r="P13" s="5">
        <v>156154036</v>
      </c>
    </row>
    <row r="14" spans="1:16">
      <c r="A14" t="s">
        <v>16</v>
      </c>
      <c r="B14">
        <v>2022</v>
      </c>
      <c r="C14">
        <v>10142.6362763217</v>
      </c>
      <c r="D14">
        <v>8.77989728539985</v>
      </c>
      <c r="E14">
        <v>0.0174462501456046</v>
      </c>
      <c r="F14">
        <v>54902</v>
      </c>
      <c r="G14">
        <v>5.14545</v>
      </c>
      <c r="H14">
        <v>119235</v>
      </c>
      <c r="I14">
        <v>0.37022800144685</v>
      </c>
      <c r="J14">
        <v>0.000315453090802082</v>
      </c>
      <c r="K14">
        <v>1005</v>
      </c>
      <c r="L14" s="6">
        <v>15.2</v>
      </c>
      <c r="M14" s="6">
        <v>0.21</v>
      </c>
      <c r="N14" s="6">
        <v>1.66</v>
      </c>
      <c r="O14" s="6">
        <v>85.11</v>
      </c>
      <c r="P14" s="5">
        <v>162517305</v>
      </c>
    </row>
    <row r="15" spans="1:16">
      <c r="A15" t="s">
        <v>16</v>
      </c>
      <c r="B15">
        <v>2023</v>
      </c>
      <c r="C15">
        <v>9620.12841732414</v>
      </c>
      <c r="D15">
        <v>8.77346041055718</v>
      </c>
      <c r="E15">
        <v>0.0176847263298143</v>
      </c>
      <c r="F15">
        <v>55881</v>
      </c>
      <c r="G15">
        <v>14.13825</v>
      </c>
      <c r="H15">
        <v>122752</v>
      </c>
      <c r="I15">
        <v>0.357441164345504</v>
      </c>
      <c r="J15">
        <v>0.000844715097417146</v>
      </c>
      <c r="K15">
        <v>941</v>
      </c>
      <c r="L15" s="6">
        <v>17.64</v>
      </c>
      <c r="M15" s="6">
        <v>0.6</v>
      </c>
      <c r="N15" s="6">
        <v>1.7</v>
      </c>
      <c r="O15" s="6">
        <v>85.49</v>
      </c>
      <c r="P15" s="5">
        <v>167433728</v>
      </c>
    </row>
    <row r="16" spans="1:16">
      <c r="A16" t="s">
        <v>16</v>
      </c>
      <c r="B16">
        <v>2024</v>
      </c>
      <c r="C16">
        <v>9097.6191</v>
      </c>
      <c r="D16">
        <v>8.6217008797654</v>
      </c>
      <c r="E16">
        <v>0.0172424038658922</v>
      </c>
      <c r="G16">
        <v>1.28074</v>
      </c>
      <c r="H16">
        <v>132143</v>
      </c>
      <c r="I16">
        <v>0.344773444738492</v>
      </c>
      <c r="J16">
        <v>7.10562962223221e-5</v>
      </c>
      <c r="L16" s="6">
        <v>18.92</v>
      </c>
      <c r="M16" s="6">
        <v>0.68</v>
      </c>
      <c r="N16" s="6">
        <v>1.82</v>
      </c>
      <c r="O16" s="6">
        <v>86.01</v>
      </c>
      <c r="P16" s="5">
        <v>180243052</v>
      </c>
    </row>
    <row r="17" spans="1:16">
      <c r="A17" t="s">
        <v>17</v>
      </c>
      <c r="B17">
        <v>2010</v>
      </c>
      <c r="C17">
        <v>114232</v>
      </c>
      <c r="D17">
        <v>26.3476508201279</v>
      </c>
      <c r="E17">
        <v>0.00599967523541755</v>
      </c>
      <c r="F17">
        <v>60344</v>
      </c>
      <c r="G17">
        <v>10.85878</v>
      </c>
      <c r="H17">
        <v>28668</v>
      </c>
      <c r="I17">
        <v>0.525034004666019</v>
      </c>
      <c r="J17">
        <v>0.000532442952085538</v>
      </c>
      <c r="K17">
        <v>123810</v>
      </c>
      <c r="L17" s="6">
        <v>54.6</v>
      </c>
      <c r="M17" s="6">
        <v>5.46</v>
      </c>
      <c r="N17" s="6">
        <v>44.54</v>
      </c>
      <c r="O17" s="6">
        <v>44.29</v>
      </c>
      <c r="P17" s="5">
        <v>206237592</v>
      </c>
    </row>
    <row r="18" spans="1:16">
      <c r="A18" t="s">
        <v>17</v>
      </c>
      <c r="B18">
        <v>2011</v>
      </c>
      <c r="C18">
        <v>118505</v>
      </c>
      <c r="D18">
        <v>26.2092090707965</v>
      </c>
      <c r="E18">
        <v>0.00647007720747797</v>
      </c>
      <c r="F18">
        <v>71300</v>
      </c>
      <c r="G18">
        <v>24.33986</v>
      </c>
      <c r="H18">
        <v>33969</v>
      </c>
      <c r="I18">
        <v>0.535445770394228</v>
      </c>
      <c r="J18">
        <v>0.000992825023576671</v>
      </c>
      <c r="K18">
        <v>134264</v>
      </c>
      <c r="L18" s="6">
        <v>138.88</v>
      </c>
      <c r="M18" s="6">
        <v>11.43</v>
      </c>
      <c r="N18" s="6">
        <v>45.01</v>
      </c>
      <c r="O18" s="6">
        <v>45.59</v>
      </c>
      <c r="P18" s="5">
        <v>245663808</v>
      </c>
    </row>
    <row r="19" spans="1:16">
      <c r="A19" t="s">
        <v>17</v>
      </c>
      <c r="B19">
        <v>2012</v>
      </c>
      <c r="C19">
        <v>122645</v>
      </c>
      <c r="D19">
        <v>26.1009363811622</v>
      </c>
      <c r="E19">
        <v>0.00745380829583884</v>
      </c>
      <c r="F19">
        <v>76234</v>
      </c>
      <c r="G19">
        <v>23.62897</v>
      </c>
      <c r="H19">
        <v>36584</v>
      </c>
      <c r="I19">
        <v>0.526945051008447</v>
      </c>
      <c r="J19">
        <v>0.000889142468808102</v>
      </c>
      <c r="K19">
        <v>134682</v>
      </c>
      <c r="L19" s="6">
        <v>134.91</v>
      </c>
      <c r="M19" s="6">
        <v>11.07</v>
      </c>
      <c r="N19" s="6">
        <v>36.04</v>
      </c>
      <c r="O19" s="6">
        <v>46.6</v>
      </c>
      <c r="P19" s="5">
        <v>265673008</v>
      </c>
    </row>
    <row r="20" spans="1:16">
      <c r="A20" t="s">
        <v>17</v>
      </c>
      <c r="B20">
        <v>2013</v>
      </c>
      <c r="C20">
        <v>109876</v>
      </c>
      <c r="D20">
        <v>25.8861141602634</v>
      </c>
      <c r="E20">
        <v>0.00818275987547002</v>
      </c>
      <c r="F20">
        <v>88984</v>
      </c>
      <c r="G20">
        <v>51.17692</v>
      </c>
      <c r="H20">
        <v>38909</v>
      </c>
      <c r="I20">
        <v>0.519007346284404</v>
      </c>
      <c r="J20">
        <v>0.00179928312639863</v>
      </c>
      <c r="K20">
        <v>117928</v>
      </c>
      <c r="L20" s="6">
        <v>130.99</v>
      </c>
      <c r="M20" s="6">
        <v>10.71</v>
      </c>
      <c r="N20" s="6">
        <v>36.1</v>
      </c>
      <c r="O20" s="6">
        <v>48.02</v>
      </c>
      <c r="P20" s="5">
        <v>283568792</v>
      </c>
    </row>
    <row r="21" spans="1:16">
      <c r="A21" t="s">
        <v>17</v>
      </c>
      <c r="B21">
        <v>2014</v>
      </c>
      <c r="C21">
        <v>108562</v>
      </c>
      <c r="D21">
        <v>25.4896900177523</v>
      </c>
      <c r="E21">
        <v>0.00885999017713448</v>
      </c>
      <c r="F21">
        <v>95029</v>
      </c>
      <c r="G21">
        <v>89</v>
      </c>
      <c r="H21">
        <v>39984</v>
      </c>
      <c r="I21">
        <v>0.51027407154377</v>
      </c>
      <c r="J21">
        <v>0.00302503471142358</v>
      </c>
      <c r="K21">
        <v>122434</v>
      </c>
      <c r="L21" s="6">
        <v>126.85</v>
      </c>
      <c r="M21" s="6">
        <v>10.27</v>
      </c>
      <c r="N21" s="6">
        <v>38.54</v>
      </c>
      <c r="O21" s="6">
        <v>49.36</v>
      </c>
      <c r="P21" s="5">
        <v>292802832</v>
      </c>
    </row>
    <row r="22" spans="1:16">
      <c r="A22" t="s">
        <v>17</v>
      </c>
      <c r="B22">
        <v>2015</v>
      </c>
      <c r="C22">
        <v>94110</v>
      </c>
      <c r="D22">
        <v>25.3961878829135</v>
      </c>
      <c r="E22">
        <v>0.00958880779813267</v>
      </c>
      <c r="F22">
        <v>91251</v>
      </c>
      <c r="G22">
        <v>54.2</v>
      </c>
      <c r="H22">
        <v>40255</v>
      </c>
      <c r="I22">
        <v>0.482681906495011</v>
      </c>
      <c r="J22">
        <v>0.00181841910937053</v>
      </c>
      <c r="K22">
        <v>117533</v>
      </c>
      <c r="L22" s="6">
        <v>120.81</v>
      </c>
      <c r="M22" s="6">
        <v>9.73</v>
      </c>
      <c r="N22" s="6">
        <v>37.83</v>
      </c>
      <c r="O22" s="6">
        <v>51.67</v>
      </c>
      <c r="P22" s="5">
        <v>295672975</v>
      </c>
    </row>
    <row r="23" spans="1:16">
      <c r="A23" t="s">
        <v>17</v>
      </c>
      <c r="B23">
        <v>2016</v>
      </c>
      <c r="C23">
        <v>87692</v>
      </c>
      <c r="D23">
        <v>25.2928813559322</v>
      </c>
      <c r="E23">
        <v>0.0096244599000014</v>
      </c>
      <c r="F23">
        <v>95207</v>
      </c>
      <c r="G23">
        <v>24.8</v>
      </c>
      <c r="H23">
        <v>43062</v>
      </c>
      <c r="I23">
        <v>0.475731709408505</v>
      </c>
      <c r="J23">
        <v>0.000773297537140888</v>
      </c>
      <c r="K23">
        <v>124800</v>
      </c>
      <c r="L23" s="6">
        <v>25.24</v>
      </c>
      <c r="M23" s="6">
        <v>2.21</v>
      </c>
      <c r="N23" s="6">
        <v>4.69</v>
      </c>
      <c r="O23" s="6">
        <v>53.87</v>
      </c>
      <c r="P23" s="5">
        <v>317582250</v>
      </c>
    </row>
    <row r="24" spans="1:16">
      <c r="A24" t="s">
        <v>17</v>
      </c>
      <c r="B24">
        <v>2017</v>
      </c>
      <c r="C24">
        <v>90032</v>
      </c>
      <c r="D24">
        <v>25.1768119854231</v>
      </c>
      <c r="E24">
        <v>0.010317647529186</v>
      </c>
      <c r="F24">
        <v>108868</v>
      </c>
      <c r="G24">
        <v>34.27381</v>
      </c>
      <c r="H24">
        <v>45387</v>
      </c>
      <c r="I24">
        <v>0.465841396129858</v>
      </c>
      <c r="J24">
        <v>0.00100756960188521</v>
      </c>
      <c r="K24">
        <v>107583</v>
      </c>
      <c r="L24" s="6">
        <v>27.61</v>
      </c>
      <c r="M24" s="6">
        <v>2.5</v>
      </c>
      <c r="N24" s="6">
        <v>5.53</v>
      </c>
      <c r="O24" s="6">
        <v>55.74</v>
      </c>
      <c r="P24" s="5">
        <v>336272283</v>
      </c>
    </row>
    <row r="25" spans="1:16">
      <c r="A25" t="s">
        <v>17</v>
      </c>
      <c r="B25">
        <v>2018</v>
      </c>
      <c r="C25">
        <v>38000</v>
      </c>
      <c r="D25">
        <v>25.1191758685699</v>
      </c>
      <c r="E25">
        <v>0.0106078507603525</v>
      </c>
      <c r="F25">
        <v>115599</v>
      </c>
      <c r="G25">
        <v>35.33644</v>
      </c>
      <c r="H25">
        <v>47772.22068</v>
      </c>
      <c r="I25">
        <v>0.445430150898619</v>
      </c>
      <c r="J25">
        <v>0.000981287838163946</v>
      </c>
      <c r="K25">
        <v>111404</v>
      </c>
      <c r="L25" s="6">
        <v>23.81</v>
      </c>
      <c r="M25" s="6">
        <v>2.09</v>
      </c>
      <c r="N25" s="6">
        <v>5.08</v>
      </c>
      <c r="O25" s="6">
        <v>57.33</v>
      </c>
      <c r="P25" s="5">
        <v>354756510.76968</v>
      </c>
    </row>
    <row r="26" spans="1:16">
      <c r="A26" t="s">
        <v>17</v>
      </c>
      <c r="B26">
        <v>2019</v>
      </c>
      <c r="C26">
        <v>31053.31</v>
      </c>
      <c r="D26">
        <v>25.0483416140728</v>
      </c>
      <c r="E26">
        <v>0.0124936227585508</v>
      </c>
      <c r="F26">
        <v>116315</v>
      </c>
      <c r="G26">
        <v>37.38709</v>
      </c>
      <c r="H26">
        <v>46347.89</v>
      </c>
      <c r="I26">
        <v>0.387336445563136</v>
      </c>
      <c r="J26">
        <v>0.00106502211111276</v>
      </c>
      <c r="K26">
        <v>107041</v>
      </c>
      <c r="L26" s="6">
        <v>22.38</v>
      </c>
      <c r="M26" s="6">
        <v>1.83</v>
      </c>
      <c r="N26" s="6">
        <v>4.61</v>
      </c>
      <c r="O26" s="6">
        <v>58.77</v>
      </c>
      <c r="P26" s="5">
        <v>345152736.83</v>
      </c>
    </row>
    <row r="27" spans="1:16">
      <c r="A27" t="s">
        <v>17</v>
      </c>
      <c r="B27">
        <v>2020</v>
      </c>
      <c r="C27">
        <v>29851.54</v>
      </c>
      <c r="D27">
        <v>24.9912915326902</v>
      </c>
      <c r="E27">
        <v>0.0134077892356952</v>
      </c>
      <c r="F27">
        <v>120446</v>
      </c>
      <c r="G27">
        <v>12.9336</v>
      </c>
      <c r="H27">
        <v>48564</v>
      </c>
      <c r="I27">
        <v>0.375541782240894</v>
      </c>
      <c r="J27">
        <v>0.000357213778924398</v>
      </c>
      <c r="K27">
        <v>105341</v>
      </c>
      <c r="L27" s="6">
        <v>127.42</v>
      </c>
      <c r="M27" s="6">
        <v>3.22</v>
      </c>
      <c r="N27" s="6">
        <v>11.45</v>
      </c>
      <c r="O27" s="6">
        <v>60.07</v>
      </c>
      <c r="P27" s="5">
        <v>362481696</v>
      </c>
    </row>
    <row r="28" spans="1:16">
      <c r="A28" t="s">
        <v>17</v>
      </c>
      <c r="B28">
        <v>2021</v>
      </c>
      <c r="C28">
        <v>30666.02</v>
      </c>
      <c r="D28">
        <v>25.0449785177229</v>
      </c>
      <c r="E28">
        <v>0.0141216653091136</v>
      </c>
      <c r="F28">
        <v>123427</v>
      </c>
      <c r="G28">
        <v>9.55484</v>
      </c>
      <c r="H28">
        <v>54172</v>
      </c>
      <c r="I28">
        <v>0.405141701306965</v>
      </c>
      <c r="J28">
        <v>0.000236556882298911</v>
      </c>
      <c r="K28">
        <v>104185</v>
      </c>
      <c r="L28" s="6">
        <v>153.53</v>
      </c>
      <c r="M28" s="6">
        <v>3.71</v>
      </c>
      <c r="N28" s="6">
        <v>13.33</v>
      </c>
      <c r="O28" s="6">
        <v>61.14</v>
      </c>
      <c r="P28" s="5">
        <v>403473056</v>
      </c>
    </row>
    <row r="29" spans="1:16">
      <c r="A29" t="s">
        <v>17</v>
      </c>
      <c r="B29">
        <v>2022</v>
      </c>
      <c r="C29">
        <v>26093.9185494772</v>
      </c>
      <c r="D29">
        <v>25.1394878706199</v>
      </c>
      <c r="E29">
        <v>0.015007352066537</v>
      </c>
      <c r="F29">
        <v>127667</v>
      </c>
      <c r="G29">
        <v>17.0349</v>
      </c>
      <c r="H29">
        <v>56995</v>
      </c>
      <c r="I29">
        <v>0.402405924890962</v>
      </c>
      <c r="J29">
        <v>0.000402047183883088</v>
      </c>
      <c r="K29">
        <v>105587</v>
      </c>
      <c r="L29" s="6">
        <v>152.78</v>
      </c>
      <c r="M29" s="6">
        <v>3.31</v>
      </c>
      <c r="N29" s="6">
        <v>12.68</v>
      </c>
      <c r="O29" s="6">
        <v>61.65</v>
      </c>
      <c r="P29" s="5">
        <v>422902900</v>
      </c>
    </row>
    <row r="30" spans="1:16">
      <c r="A30" t="s">
        <v>17</v>
      </c>
      <c r="B30">
        <v>2023</v>
      </c>
      <c r="C30">
        <v>23301.8300558527</v>
      </c>
      <c r="D30">
        <v>25.2312998782632</v>
      </c>
      <c r="E30">
        <v>0.0160090430797308</v>
      </c>
      <c r="F30">
        <v>136265</v>
      </c>
      <c r="G30">
        <v>22.80009</v>
      </c>
      <c r="H30">
        <v>59332</v>
      </c>
      <c r="I30">
        <v>0.374004701427495</v>
      </c>
      <c r="J30">
        <v>0.00051884303012236</v>
      </c>
      <c r="K30">
        <v>105022</v>
      </c>
      <c r="L30" s="6">
        <v>159.31</v>
      </c>
      <c r="M30" s="6">
        <v>4.87</v>
      </c>
      <c r="N30" s="6">
        <v>13.87</v>
      </c>
      <c r="O30" s="6">
        <v>62.77</v>
      </c>
      <c r="P30" s="5">
        <v>438641476</v>
      </c>
    </row>
    <row r="31" spans="1:16">
      <c r="A31" t="s">
        <v>17</v>
      </c>
      <c r="B31">
        <v>2024</v>
      </c>
      <c r="C31">
        <v>20509.742</v>
      </c>
      <c r="D31">
        <v>25.6905665492003</v>
      </c>
      <c r="E31">
        <v>0.0159337669824878</v>
      </c>
      <c r="G31">
        <v>28.98877</v>
      </c>
      <c r="H31">
        <v>64352</v>
      </c>
      <c r="I31">
        <v>0.36759182694432</v>
      </c>
      <c r="J31">
        <v>0.000609944473550768</v>
      </c>
      <c r="L31" s="6">
        <v>153.61</v>
      </c>
      <c r="M31" s="6">
        <v>4.3</v>
      </c>
      <c r="N31" s="6">
        <v>13.11</v>
      </c>
      <c r="O31" s="6">
        <v>63.42</v>
      </c>
      <c r="P31" s="5">
        <v>474789056</v>
      </c>
    </row>
    <row r="32" spans="1:16">
      <c r="A32" t="s">
        <v>18</v>
      </c>
      <c r="B32">
        <v>2010</v>
      </c>
      <c r="C32">
        <v>71521</v>
      </c>
      <c r="D32">
        <v>33.6461714285714</v>
      </c>
      <c r="E32">
        <v>0.0130395123439165</v>
      </c>
      <c r="F32">
        <v>67790</v>
      </c>
      <c r="G32">
        <v>14.77079</v>
      </c>
      <c r="H32">
        <v>42355</v>
      </c>
      <c r="I32">
        <v>0.54053605977482</v>
      </c>
      <c r="J32">
        <v>0.000800269487307711</v>
      </c>
      <c r="K32">
        <v>763101</v>
      </c>
      <c r="L32" s="6">
        <v>54.2</v>
      </c>
      <c r="M32" s="6">
        <v>5.61</v>
      </c>
      <c r="N32" s="6">
        <v>20.04</v>
      </c>
      <c r="O32" s="6">
        <v>62.15</v>
      </c>
      <c r="P32" s="5">
        <v>185303125</v>
      </c>
    </row>
    <row r="33" spans="1:16">
      <c r="A33" t="s">
        <v>18</v>
      </c>
      <c r="B33">
        <v>2011</v>
      </c>
      <c r="C33">
        <v>90457</v>
      </c>
      <c r="D33">
        <v>33.6154373144554</v>
      </c>
      <c r="E33">
        <v>0.0123592913028025</v>
      </c>
      <c r="F33">
        <v>78344</v>
      </c>
      <c r="G33">
        <v>11.60318</v>
      </c>
      <c r="H33">
        <v>50760</v>
      </c>
      <c r="I33">
        <v>0.54673658257861</v>
      </c>
      <c r="J33">
        <v>0.000522037909361264</v>
      </c>
      <c r="K33">
        <v>751387</v>
      </c>
      <c r="L33" s="6">
        <v>134.34</v>
      </c>
      <c r="M33" s="6">
        <v>11.11</v>
      </c>
      <c r="N33" s="6">
        <v>20.01</v>
      </c>
      <c r="O33" s="6">
        <v>64.05</v>
      </c>
      <c r="P33" s="5">
        <v>222278040</v>
      </c>
    </row>
    <row r="34" spans="1:16">
      <c r="A34" t="s">
        <v>18</v>
      </c>
      <c r="B34">
        <v>2012</v>
      </c>
      <c r="C34">
        <v>87168</v>
      </c>
      <c r="D34">
        <v>33.6461714285714</v>
      </c>
      <c r="E34">
        <v>0.0116498378237839</v>
      </c>
      <c r="F34">
        <v>88502</v>
      </c>
      <c r="G34">
        <v>11.94474</v>
      </c>
      <c r="H34">
        <v>56649</v>
      </c>
      <c r="I34">
        <v>0.5324905831542</v>
      </c>
      <c r="J34">
        <v>0.000480742706296236</v>
      </c>
      <c r="K34">
        <v>813035</v>
      </c>
      <c r="L34" s="6">
        <v>130.59</v>
      </c>
      <c r="M34" s="6">
        <v>10.75</v>
      </c>
      <c r="N34" s="6">
        <v>20.53</v>
      </c>
      <c r="O34" s="6">
        <v>65.65</v>
      </c>
      <c r="P34" s="5">
        <v>247839375</v>
      </c>
    </row>
    <row r="35" spans="1:16">
      <c r="A35" t="s">
        <v>18</v>
      </c>
      <c r="B35">
        <v>2013</v>
      </c>
      <c r="C35">
        <v>78286</v>
      </c>
      <c r="D35">
        <v>33.7512027491409</v>
      </c>
      <c r="E35">
        <v>0.0122414863070228</v>
      </c>
      <c r="F35">
        <v>98354</v>
      </c>
      <c r="G35">
        <v>27.69075</v>
      </c>
      <c r="H35">
        <v>61996</v>
      </c>
      <c r="I35">
        <v>0.52435764676139</v>
      </c>
      <c r="J35">
        <v>0.00101754772129134</v>
      </c>
      <c r="K35">
        <v>942050</v>
      </c>
      <c r="L35" s="6">
        <v>125.26</v>
      </c>
      <c r="M35" s="6">
        <v>10.33</v>
      </c>
      <c r="N35" s="6">
        <v>20.35</v>
      </c>
      <c r="O35" s="6">
        <v>66.45</v>
      </c>
      <c r="P35" s="5">
        <v>270612540</v>
      </c>
    </row>
    <row r="36" spans="1:16">
      <c r="A36" t="s">
        <v>18</v>
      </c>
      <c r="B36">
        <v>2014</v>
      </c>
      <c r="C36">
        <v>90631</v>
      </c>
      <c r="D36">
        <v>33.7778797613584</v>
      </c>
      <c r="E36">
        <v>0.0113261975408868</v>
      </c>
      <c r="F36">
        <v>103658</v>
      </c>
      <c r="G36">
        <v>38.2</v>
      </c>
      <c r="H36">
        <v>65201</v>
      </c>
      <c r="I36">
        <v>0.502492438845297</v>
      </c>
      <c r="J36">
        <v>0.00133442416104194</v>
      </c>
      <c r="K36">
        <v>928503</v>
      </c>
      <c r="L36" s="6">
        <v>121.7</v>
      </c>
      <c r="M36" s="6">
        <v>10.01</v>
      </c>
      <c r="N36" s="6">
        <v>20.78</v>
      </c>
      <c r="O36" s="6">
        <v>67.05</v>
      </c>
      <c r="P36" s="5">
        <v>284145958</v>
      </c>
    </row>
    <row r="37" spans="1:16">
      <c r="A37" t="s">
        <v>18</v>
      </c>
      <c r="B37">
        <v>2015</v>
      </c>
      <c r="C37">
        <v>83140</v>
      </c>
      <c r="D37">
        <v>33.9455970493315</v>
      </c>
      <c r="E37">
        <v>0.00843699204744244</v>
      </c>
      <c r="F37">
        <v>104859</v>
      </c>
      <c r="G37">
        <v>19</v>
      </c>
      <c r="H37">
        <v>65354.4122</v>
      </c>
      <c r="I37">
        <v>0.454915159976192</v>
      </c>
      <c r="J37">
        <v>0.000662736384115869</v>
      </c>
      <c r="K37">
        <v>933068</v>
      </c>
      <c r="L37" s="6">
        <v>116.75</v>
      </c>
      <c r="M37" s="6">
        <v>9.63</v>
      </c>
      <c r="N37" s="6">
        <v>20.78</v>
      </c>
      <c r="O37" s="6">
        <v>68.05</v>
      </c>
      <c r="P37" s="5">
        <v>283507440.1236</v>
      </c>
    </row>
    <row r="38" spans="1:16">
      <c r="A38" t="s">
        <v>18</v>
      </c>
      <c r="B38">
        <v>2016</v>
      </c>
      <c r="C38">
        <v>57639.21</v>
      </c>
      <c r="D38">
        <v>34.0318927663508</v>
      </c>
      <c r="E38">
        <v>0.010880781592042</v>
      </c>
      <c r="F38">
        <v>109066</v>
      </c>
      <c r="G38">
        <v>19.4</v>
      </c>
      <c r="H38">
        <v>50791</v>
      </c>
      <c r="I38">
        <v>0.386864686765347</v>
      </c>
      <c r="J38">
        <v>0.000872031608898318</v>
      </c>
      <c r="K38">
        <v>698400</v>
      </c>
      <c r="L38" s="6">
        <v>16.67</v>
      </c>
      <c r="M38" s="6">
        <v>1.38</v>
      </c>
      <c r="N38" s="6">
        <v>4.06</v>
      </c>
      <c r="O38" s="6">
        <v>68.87</v>
      </c>
      <c r="P38" s="5">
        <v>219772657</v>
      </c>
    </row>
    <row r="39" spans="1:16">
      <c r="A39" t="s">
        <v>18</v>
      </c>
      <c r="B39">
        <v>2017</v>
      </c>
      <c r="C39">
        <v>51284.110889</v>
      </c>
      <c r="D39">
        <v>34.1502782931354</v>
      </c>
      <c r="E39">
        <v>0.0117452638359895</v>
      </c>
      <c r="F39">
        <v>112558</v>
      </c>
      <c r="G39">
        <v>13.04705</v>
      </c>
      <c r="H39">
        <v>53526.65444</v>
      </c>
      <c r="I39">
        <v>0.392998662066774</v>
      </c>
      <c r="J39">
        <v>0.000557346159038055</v>
      </c>
      <c r="K39">
        <v>698400</v>
      </c>
      <c r="L39" s="6">
        <v>16.3</v>
      </c>
      <c r="M39" s="6">
        <v>1.49</v>
      </c>
      <c r="N39" s="6">
        <v>4.42</v>
      </c>
      <c r="O39" s="6">
        <v>69.49</v>
      </c>
      <c r="P39" s="5">
        <v>230806933.94528</v>
      </c>
    </row>
    <row r="40" spans="1:16">
      <c r="A40" t="s">
        <v>18</v>
      </c>
      <c r="B40">
        <v>2018</v>
      </c>
      <c r="C40">
        <v>39554.7</v>
      </c>
      <c r="D40">
        <v>34.3174085294803</v>
      </c>
      <c r="E40">
        <v>0.0118742735138957</v>
      </c>
      <c r="F40">
        <v>112176</v>
      </c>
      <c r="G40">
        <v>11.42304</v>
      </c>
      <c r="H40">
        <v>58007.51578</v>
      </c>
      <c r="I40">
        <v>0.396008745681968</v>
      </c>
      <c r="J40">
        <v>0.000451229787460967</v>
      </c>
      <c r="K40">
        <v>693190</v>
      </c>
      <c r="L40" s="6">
        <v>13.46</v>
      </c>
      <c r="M40" s="6">
        <v>1.36</v>
      </c>
      <c r="N40" s="6">
        <v>4.41</v>
      </c>
      <c r="O40" s="6">
        <v>70.26</v>
      </c>
      <c r="P40" s="5">
        <v>248910250.21198</v>
      </c>
    </row>
    <row r="41" spans="1:16">
      <c r="A41" t="s">
        <v>18</v>
      </c>
      <c r="B41">
        <v>2019</v>
      </c>
      <c r="C41">
        <v>32799</v>
      </c>
      <c r="D41">
        <v>34.4297404722937</v>
      </c>
      <c r="E41">
        <v>0.0124550393525349</v>
      </c>
      <c r="F41">
        <v>86124</v>
      </c>
      <c r="G41">
        <v>12.15472</v>
      </c>
      <c r="H41">
        <v>57191</v>
      </c>
      <c r="I41">
        <v>0.382635505802015</v>
      </c>
      <c r="J41">
        <v>0.000487956177274087</v>
      </c>
      <c r="K41">
        <v>661817</v>
      </c>
      <c r="L41" s="6">
        <v>13.11</v>
      </c>
      <c r="M41" s="6">
        <v>0.96</v>
      </c>
      <c r="N41" s="6">
        <v>3.93</v>
      </c>
      <c r="O41" s="6">
        <v>71.21</v>
      </c>
      <c r="P41" s="5">
        <v>244605907</v>
      </c>
    </row>
    <row r="42" spans="1:16">
      <c r="A42" t="s">
        <v>18</v>
      </c>
      <c r="B42">
        <v>2020</v>
      </c>
      <c r="C42">
        <v>29029.5</v>
      </c>
      <c r="D42">
        <v>34.6077555816686</v>
      </c>
      <c r="E42">
        <v>0.0133514936914094</v>
      </c>
      <c r="F42">
        <v>82004</v>
      </c>
      <c r="G42">
        <v>9.802</v>
      </c>
      <c r="H42">
        <v>58872</v>
      </c>
      <c r="I42">
        <v>0.374315149217837</v>
      </c>
      <c r="J42">
        <v>0.000390285312021202</v>
      </c>
      <c r="K42">
        <v>650719</v>
      </c>
      <c r="L42" s="6">
        <v>124.75</v>
      </c>
      <c r="M42" s="6">
        <v>1.85</v>
      </c>
      <c r="N42" s="6">
        <v>10</v>
      </c>
      <c r="O42" s="6">
        <v>72.14</v>
      </c>
      <c r="P42" s="5">
        <v>250500360</v>
      </c>
    </row>
    <row r="43" spans="1:16">
      <c r="A43" t="s">
        <v>18</v>
      </c>
      <c r="B43">
        <v>2021</v>
      </c>
      <c r="C43">
        <v>30296.5</v>
      </c>
      <c r="D43">
        <v>34.8205249467959</v>
      </c>
      <c r="E43">
        <v>0.0133148875620376</v>
      </c>
      <c r="F43">
        <v>78768</v>
      </c>
      <c r="G43">
        <v>12.07588</v>
      </c>
      <c r="H43">
        <v>65026</v>
      </c>
      <c r="I43">
        <v>0.394256111310501</v>
      </c>
      <c r="J43">
        <v>0.00043778408575955</v>
      </c>
      <c r="K43">
        <v>647606</v>
      </c>
      <c r="L43" s="6">
        <v>119.86</v>
      </c>
      <c r="M43" s="6">
        <v>1.6</v>
      </c>
      <c r="N43" s="6">
        <v>10.05</v>
      </c>
      <c r="O43" s="6">
        <v>72.81</v>
      </c>
      <c r="P43" s="5">
        <v>274994954</v>
      </c>
    </row>
    <row r="44" spans="1:16">
      <c r="A44" t="s">
        <v>18</v>
      </c>
      <c r="B44">
        <v>2022</v>
      </c>
      <c r="C44">
        <v>29230.1</v>
      </c>
      <c r="D44">
        <v>35.0860138193948</v>
      </c>
      <c r="E44">
        <v>0.0129653809650355</v>
      </c>
      <c r="F44">
        <v>74051</v>
      </c>
      <c r="G44">
        <v>4.62021</v>
      </c>
      <c r="H44">
        <v>68775</v>
      </c>
      <c r="I44">
        <v>0.40572077404392</v>
      </c>
      <c r="J44">
        <v>0.000159454497137197</v>
      </c>
      <c r="K44">
        <v>677201</v>
      </c>
      <c r="L44" s="6">
        <v>121.45</v>
      </c>
      <c r="M44" s="6">
        <v>1.54</v>
      </c>
      <c r="N44" s="6">
        <v>10.12</v>
      </c>
      <c r="O44" s="6">
        <v>73</v>
      </c>
      <c r="P44" s="5">
        <v>288648675</v>
      </c>
    </row>
    <row r="45" spans="1:16">
      <c r="A45" t="s">
        <v>18</v>
      </c>
      <c r="B45">
        <v>2023</v>
      </c>
      <c r="C45">
        <v>26609.530078047</v>
      </c>
      <c r="D45">
        <v>35.2118603538977</v>
      </c>
      <c r="E45">
        <v>0.0129835405536025</v>
      </c>
      <c r="F45">
        <v>75341</v>
      </c>
      <c r="G45">
        <v>6.15475</v>
      </c>
      <c r="H45">
        <v>72107</v>
      </c>
      <c r="I45">
        <v>0.388438697888737</v>
      </c>
      <c r="J45">
        <v>0.00020373625427847</v>
      </c>
      <c r="K45">
        <v>773974</v>
      </c>
      <c r="L45" s="6">
        <v>142.39</v>
      </c>
      <c r="M45" s="6">
        <v>3.73</v>
      </c>
      <c r="N45" s="6">
        <v>11.92</v>
      </c>
      <c r="O45" s="6">
        <v>73.5</v>
      </c>
      <c r="P45" s="5">
        <v>301551474</v>
      </c>
    </row>
    <row r="46" spans="1:16">
      <c r="A46" t="s">
        <v>18</v>
      </c>
      <c r="B46">
        <v>2024</v>
      </c>
      <c r="C46">
        <v>23988.959</v>
      </c>
      <c r="D46">
        <v>35.4276774969916</v>
      </c>
      <c r="E46">
        <v>0.0129232952193471</v>
      </c>
      <c r="G46">
        <v>17.82263</v>
      </c>
      <c r="H46">
        <v>78236</v>
      </c>
      <c r="I46">
        <v>0.35272455209167</v>
      </c>
      <c r="J46">
        <v>0.000546493543926139</v>
      </c>
      <c r="L46" s="6">
        <v>137.2</v>
      </c>
      <c r="M46" s="6">
        <v>3.31</v>
      </c>
      <c r="N46" s="6">
        <v>11.13</v>
      </c>
      <c r="O46" s="6">
        <v>74.18</v>
      </c>
      <c r="P46" s="5">
        <v>325070580</v>
      </c>
    </row>
    <row r="47" spans="1:16">
      <c r="A47" t="s">
        <v>19</v>
      </c>
      <c r="B47">
        <v>2010</v>
      </c>
      <c r="C47">
        <v>36696</v>
      </c>
      <c r="D47">
        <v>2.75293095961789</v>
      </c>
      <c r="E47">
        <v>0.0181948646877914</v>
      </c>
      <c r="F47">
        <v>56320</v>
      </c>
      <c r="G47">
        <v>9.41065</v>
      </c>
      <c r="H47">
        <v>76074</v>
      </c>
      <c r="I47">
        <v>0.420501480253385</v>
      </c>
      <c r="J47">
        <v>0.000548215132488795</v>
      </c>
      <c r="L47" s="6">
        <v>22</v>
      </c>
      <c r="M47" s="6">
        <v>2.75</v>
      </c>
      <c r="N47" s="6">
        <v>1.55</v>
      </c>
      <c r="O47" s="6">
        <v>89.3</v>
      </c>
      <c r="P47" s="5">
        <v>175198422</v>
      </c>
    </row>
    <row r="48" spans="1:16">
      <c r="A48" t="s">
        <v>19</v>
      </c>
      <c r="B48">
        <v>2011</v>
      </c>
      <c r="C48">
        <v>44626</v>
      </c>
      <c r="D48">
        <v>2.69100169779287</v>
      </c>
      <c r="E48">
        <v>0.0179083252542628</v>
      </c>
      <c r="F48">
        <v>62432</v>
      </c>
      <c r="G48">
        <v>6.36016</v>
      </c>
      <c r="H48">
        <v>82560</v>
      </c>
      <c r="I48">
        <v>0.413003648214782</v>
      </c>
      <c r="J48">
        <v>0.000331332710624104</v>
      </c>
      <c r="L48" s="6">
        <v>24.9</v>
      </c>
      <c r="M48" s="6">
        <v>5.04</v>
      </c>
      <c r="N48" s="6">
        <v>1.53</v>
      </c>
      <c r="O48" s="6">
        <v>89.3</v>
      </c>
      <c r="P48" s="5">
        <v>194511360</v>
      </c>
    </row>
    <row r="49" spans="1:16">
      <c r="A49" t="s">
        <v>19</v>
      </c>
      <c r="B49">
        <v>2012</v>
      </c>
      <c r="C49">
        <v>46359</v>
      </c>
      <c r="D49">
        <v>2.64276781992497</v>
      </c>
      <c r="E49">
        <v>0.0184081163548003</v>
      </c>
      <c r="F49">
        <v>63740</v>
      </c>
      <c r="G49">
        <v>11.59151</v>
      </c>
      <c r="H49">
        <v>85373</v>
      </c>
      <c r="I49">
        <v>0.389202208731466</v>
      </c>
      <c r="J49">
        <v>0.000574356893267769</v>
      </c>
      <c r="L49" s="6">
        <v>24.26</v>
      </c>
      <c r="M49" s="6">
        <v>4.74</v>
      </c>
      <c r="N49" s="6">
        <v>1.55</v>
      </c>
      <c r="O49" s="6">
        <v>89.3</v>
      </c>
      <c r="P49" s="5">
        <v>204809827</v>
      </c>
    </row>
    <row r="50" spans="1:16">
      <c r="A50" t="s">
        <v>19</v>
      </c>
      <c r="B50">
        <v>2013</v>
      </c>
      <c r="C50">
        <v>45426</v>
      </c>
      <c r="D50">
        <v>2.58986928104575</v>
      </c>
      <c r="E50">
        <v>0.0185524446389818</v>
      </c>
      <c r="F50">
        <v>68273</v>
      </c>
      <c r="G50">
        <v>5.20766</v>
      </c>
      <c r="H50">
        <v>90993</v>
      </c>
      <c r="I50">
        <v>0.367939994912493</v>
      </c>
      <c r="J50">
        <v>0.000238684764748615</v>
      </c>
      <c r="L50" s="6">
        <v>23.56</v>
      </c>
      <c r="M50" s="6">
        <v>4.58</v>
      </c>
      <c r="N50" s="6">
        <v>1.56</v>
      </c>
      <c r="O50" s="6">
        <v>89.6</v>
      </c>
      <c r="P50" s="5">
        <v>222750864</v>
      </c>
    </row>
    <row r="51" spans="1:16">
      <c r="A51" t="s">
        <v>19</v>
      </c>
      <c r="B51">
        <v>2014</v>
      </c>
      <c r="C51">
        <v>43939</v>
      </c>
      <c r="D51">
        <v>2.56992298338062</v>
      </c>
      <c r="E51">
        <v>0.0190607993143158</v>
      </c>
      <c r="F51">
        <v>66954</v>
      </c>
      <c r="G51">
        <v>17.8</v>
      </c>
      <c r="H51">
        <v>97370</v>
      </c>
      <c r="I51">
        <v>0.346563729171705</v>
      </c>
      <c r="J51">
        <v>0.000755270985289188</v>
      </c>
      <c r="L51" s="6">
        <v>22.44</v>
      </c>
      <c r="M51" s="6">
        <v>4.46</v>
      </c>
      <c r="N51" s="6">
        <v>1.5</v>
      </c>
      <c r="O51" s="6">
        <v>89.3</v>
      </c>
      <c r="P51" s="5">
        <v>240211790</v>
      </c>
    </row>
    <row r="52" spans="1:16">
      <c r="A52" t="s">
        <v>19</v>
      </c>
      <c r="B52">
        <v>2015</v>
      </c>
      <c r="C52">
        <v>46939</v>
      </c>
      <c r="D52">
        <v>2.57973962571196</v>
      </c>
      <c r="E52">
        <v>0.0188765607430508</v>
      </c>
      <c r="F52">
        <v>64906</v>
      </c>
      <c r="G52">
        <v>21.2</v>
      </c>
      <c r="H52">
        <v>103795.536</v>
      </c>
      <c r="I52">
        <v>0.318069373433983</v>
      </c>
      <c r="J52">
        <v>0.000843833151895938</v>
      </c>
      <c r="L52" s="6">
        <v>19.88</v>
      </c>
      <c r="M52" s="6">
        <v>4.25</v>
      </c>
      <c r="N52" s="6">
        <v>1.56</v>
      </c>
      <c r="O52" s="6">
        <v>88.53</v>
      </c>
      <c r="P52" s="5">
        <v>255129427.488</v>
      </c>
    </row>
    <row r="53" spans="1:16">
      <c r="A53" t="s">
        <v>19</v>
      </c>
      <c r="B53">
        <v>2016</v>
      </c>
      <c r="C53">
        <v>36600</v>
      </c>
      <c r="D53">
        <v>2.57032833400892</v>
      </c>
      <c r="E53">
        <v>0.0173918125957063</v>
      </c>
      <c r="F53">
        <v>64482</v>
      </c>
      <c r="G53">
        <v>51.9</v>
      </c>
      <c r="H53">
        <v>116562</v>
      </c>
      <c r="I53">
        <v>0.29832089188091</v>
      </c>
      <c r="J53">
        <v>0.00184181995943738</v>
      </c>
      <c r="L53" s="6">
        <v>7.88</v>
      </c>
      <c r="M53" s="6">
        <v>1.74</v>
      </c>
      <c r="N53" s="6">
        <v>3.17</v>
      </c>
      <c r="O53" s="6">
        <v>89</v>
      </c>
      <c r="P53" s="5">
        <v>287558454</v>
      </c>
    </row>
    <row r="54" spans="1:16">
      <c r="A54" t="s">
        <v>19</v>
      </c>
      <c r="B54">
        <v>2017</v>
      </c>
      <c r="C54">
        <v>31600</v>
      </c>
      <c r="D54">
        <v>2.57137064071371</v>
      </c>
      <c r="E54">
        <v>0.0176279005085694</v>
      </c>
      <c r="F54">
        <v>70542</v>
      </c>
      <c r="G54">
        <v>44.82404</v>
      </c>
      <c r="H54">
        <v>126634.15</v>
      </c>
      <c r="I54">
        <v>0.304595470438896</v>
      </c>
      <c r="J54">
        <v>0.00146326036080709</v>
      </c>
      <c r="L54" s="6">
        <v>6.52</v>
      </c>
      <c r="M54" s="6">
        <v>0.94</v>
      </c>
      <c r="N54" s="6">
        <v>3.05</v>
      </c>
      <c r="O54" s="6">
        <v>89.1</v>
      </c>
      <c r="P54" s="5">
        <v>312279813.9</v>
      </c>
    </row>
    <row r="55" spans="1:16">
      <c r="A55" t="s">
        <v>19</v>
      </c>
      <c r="B55">
        <v>2018</v>
      </c>
      <c r="C55">
        <v>29100</v>
      </c>
      <c r="D55">
        <v>2.5620202020202</v>
      </c>
      <c r="E55">
        <v>0.01697916209581</v>
      </c>
      <c r="F55">
        <v>68392</v>
      </c>
      <c r="G55">
        <v>20.768035</v>
      </c>
      <c r="H55">
        <v>134982</v>
      </c>
      <c r="I55">
        <v>0.297814526189976</v>
      </c>
      <c r="J55">
        <v>0.000635499315021755</v>
      </c>
      <c r="L55" s="6">
        <v>6.21</v>
      </c>
      <c r="M55" s="6">
        <v>0.81</v>
      </c>
      <c r="N55" s="6">
        <v>2.71</v>
      </c>
      <c r="O55" s="6">
        <v>89.13</v>
      </c>
      <c r="P55" s="5">
        <v>334080450</v>
      </c>
    </row>
    <row r="56" spans="1:16">
      <c r="A56" t="s">
        <v>19</v>
      </c>
      <c r="B56">
        <v>2019</v>
      </c>
      <c r="C56">
        <v>34100</v>
      </c>
      <c r="D56">
        <v>2.55582426440951</v>
      </c>
      <c r="E56">
        <v>0.0154801584680721</v>
      </c>
      <c r="F56">
        <v>66351</v>
      </c>
      <c r="G56">
        <v>29.93774</v>
      </c>
      <c r="H56">
        <v>157279</v>
      </c>
      <c r="I56">
        <v>0.269927234262483</v>
      </c>
      <c r="J56">
        <v>0.00078462819863652</v>
      </c>
      <c r="L56" s="6">
        <v>5.56</v>
      </c>
      <c r="M56" s="6">
        <v>0.73</v>
      </c>
      <c r="N56" s="6">
        <v>2.27</v>
      </c>
      <c r="O56" s="6">
        <v>89.22</v>
      </c>
      <c r="P56" s="5">
        <v>390209199</v>
      </c>
    </row>
    <row r="57" spans="1:16">
      <c r="A57" t="s">
        <v>19</v>
      </c>
      <c r="B57">
        <v>2020</v>
      </c>
      <c r="C57">
        <v>31200</v>
      </c>
      <c r="D57">
        <v>2.54863344051447</v>
      </c>
      <c r="E57">
        <v>0.0164082476283301</v>
      </c>
      <c r="F57">
        <v>65105</v>
      </c>
      <c r="G57">
        <v>9.0711</v>
      </c>
      <c r="H57">
        <v>155768</v>
      </c>
      <c r="I57">
        <v>0.265873793105943</v>
      </c>
      <c r="J57">
        <v>0.000234391835987988</v>
      </c>
      <c r="K57">
        <v>266</v>
      </c>
      <c r="L57" s="6">
        <v>7.29</v>
      </c>
      <c r="M57" s="6">
        <v>0.3</v>
      </c>
      <c r="N57" s="6">
        <v>2.68</v>
      </c>
      <c r="O57" s="6">
        <v>89.3</v>
      </c>
      <c r="P57" s="5">
        <v>387550784</v>
      </c>
    </row>
    <row r="58" spans="1:16">
      <c r="A58" t="s">
        <v>19</v>
      </c>
      <c r="B58">
        <v>2021</v>
      </c>
      <c r="C58">
        <v>32100</v>
      </c>
      <c r="D58">
        <v>2.54760948171957</v>
      </c>
      <c r="E58">
        <v>0.0161594565763197</v>
      </c>
      <c r="F58">
        <v>69827</v>
      </c>
      <c r="G58">
        <v>11.09416</v>
      </c>
      <c r="H58">
        <v>173630</v>
      </c>
      <c r="I58">
        <v>0.264938713267877</v>
      </c>
      <c r="J58">
        <v>0.000256720714383234</v>
      </c>
      <c r="K58">
        <v>220</v>
      </c>
      <c r="L58" s="6">
        <v>7.51</v>
      </c>
      <c r="M58" s="6">
        <v>0.29</v>
      </c>
      <c r="N58" s="6">
        <v>2.59</v>
      </c>
      <c r="O58" s="6">
        <v>89.31</v>
      </c>
      <c r="P58" s="5">
        <v>432165070</v>
      </c>
    </row>
    <row r="59" spans="1:16">
      <c r="A59" t="s">
        <v>19</v>
      </c>
      <c r="B59">
        <v>2022</v>
      </c>
      <c r="C59">
        <v>32300</v>
      </c>
      <c r="D59">
        <v>2.5620202020202</v>
      </c>
      <c r="E59">
        <v>0.0171544463057188</v>
      </c>
      <c r="F59">
        <v>66832</v>
      </c>
      <c r="G59">
        <v>27.41051</v>
      </c>
      <c r="H59">
        <v>179907</v>
      </c>
      <c r="I59">
        <v>0.256611007596388</v>
      </c>
      <c r="J59">
        <v>0.000613858705389136</v>
      </c>
      <c r="L59" s="6">
        <v>7.75</v>
      </c>
      <c r="M59" s="6">
        <v>0.27</v>
      </c>
      <c r="N59" s="6">
        <v>2.72</v>
      </c>
      <c r="O59" s="6">
        <v>89.33</v>
      </c>
      <c r="P59" s="5">
        <v>445269825</v>
      </c>
    </row>
    <row r="60" spans="1:16">
      <c r="A60" t="s">
        <v>19</v>
      </c>
      <c r="B60">
        <v>2023</v>
      </c>
      <c r="C60">
        <v>31536.879304327</v>
      </c>
      <c r="D60">
        <v>2.54965822275834</v>
      </c>
      <c r="E60">
        <v>0.0171761109475695</v>
      </c>
      <c r="F60">
        <v>75277</v>
      </c>
      <c r="G60">
        <v>8.07109</v>
      </c>
      <c r="H60">
        <v>190321</v>
      </c>
      <c r="I60">
        <v>0.245940697223769</v>
      </c>
      <c r="J60">
        <v>0.000170929949363282</v>
      </c>
      <c r="L60" s="6">
        <v>10.97</v>
      </c>
      <c r="M60" s="6">
        <v>0.74</v>
      </c>
      <c r="N60" s="6">
        <v>2.68</v>
      </c>
      <c r="O60" s="6">
        <v>89.46</v>
      </c>
      <c r="P60" s="5">
        <v>473328327</v>
      </c>
    </row>
    <row r="61" spans="1:16">
      <c r="A61" t="s">
        <v>19</v>
      </c>
      <c r="B61">
        <v>2024</v>
      </c>
      <c r="C61">
        <v>30773.758</v>
      </c>
      <c r="D61">
        <v>2.55645161290323</v>
      </c>
      <c r="E61">
        <v>0.016053077047177</v>
      </c>
      <c r="G61">
        <v>31.57802</v>
      </c>
      <c r="H61">
        <v>217140</v>
      </c>
      <c r="I61">
        <v>0.215804045120506</v>
      </c>
      <c r="J61">
        <v>0.000585573009288534</v>
      </c>
      <c r="L61" s="6">
        <v>13.07</v>
      </c>
      <c r="M61" s="6">
        <v>0.99</v>
      </c>
      <c r="N61" s="6">
        <v>2.92</v>
      </c>
      <c r="O61" s="6">
        <v>89.5</v>
      </c>
      <c r="P61" s="5">
        <v>538507200</v>
      </c>
    </row>
    <row r="62" spans="1:16">
      <c r="A62" t="s">
        <v>20</v>
      </c>
      <c r="B62">
        <v>2010</v>
      </c>
      <c r="C62">
        <v>263760</v>
      </c>
      <c r="D62">
        <v>13.0604905324692</v>
      </c>
      <c r="E62">
        <v>0.0177084171384375</v>
      </c>
      <c r="F62">
        <v>13847</v>
      </c>
      <c r="G62">
        <v>18.59945</v>
      </c>
      <c r="H62">
        <v>52840</v>
      </c>
      <c r="I62">
        <v>0.525134047933784</v>
      </c>
      <c r="J62">
        <v>0.000448985745005248</v>
      </c>
      <c r="K62">
        <v>192426</v>
      </c>
      <c r="L62" s="6">
        <v>78.8</v>
      </c>
      <c r="M62" s="6">
        <v>6.3</v>
      </c>
      <c r="N62" s="6">
        <v>16.31</v>
      </c>
      <c r="O62" s="6">
        <v>60.58</v>
      </c>
      <c r="P62" s="5">
        <v>415797960</v>
      </c>
    </row>
    <row r="63" spans="1:16">
      <c r="A63" t="s">
        <v>20</v>
      </c>
      <c r="B63">
        <v>2011</v>
      </c>
      <c r="C63">
        <v>246298</v>
      </c>
      <c r="D63">
        <v>12.809796834102</v>
      </c>
      <c r="E63">
        <v>0.0183239544396722</v>
      </c>
      <c r="F63">
        <v>17752</v>
      </c>
      <c r="G63">
        <v>31.0062</v>
      </c>
      <c r="H63">
        <v>62290</v>
      </c>
      <c r="I63">
        <v>0.513197748658274</v>
      </c>
      <c r="J63">
        <v>0.000631358776891269</v>
      </c>
      <c r="K63">
        <v>201073</v>
      </c>
      <c r="L63" s="6">
        <v>124.62</v>
      </c>
      <c r="M63" s="6">
        <v>15.72</v>
      </c>
      <c r="N63" s="6">
        <v>17.62</v>
      </c>
      <c r="O63" s="6">
        <v>62.01</v>
      </c>
      <c r="P63" s="5">
        <v>499752670</v>
      </c>
    </row>
    <row r="64" spans="1:16">
      <c r="A64" t="s">
        <v>20</v>
      </c>
      <c r="B64">
        <v>2012</v>
      </c>
      <c r="C64">
        <v>236094</v>
      </c>
      <c r="D64">
        <v>12.6567733990148</v>
      </c>
      <c r="E64">
        <v>0.0199842081370789</v>
      </c>
      <c r="F64">
        <v>20504</v>
      </c>
      <c r="G64">
        <v>39.01435</v>
      </c>
      <c r="H64">
        <v>68347</v>
      </c>
      <c r="I64">
        <v>0.501717407639393</v>
      </c>
      <c r="J64">
        <v>0.000721709852821643</v>
      </c>
      <c r="K64">
        <v>199352</v>
      </c>
      <c r="L64" s="6">
        <v>119.7</v>
      </c>
      <c r="M64" s="6">
        <v>15.31</v>
      </c>
      <c r="N64" s="6">
        <v>17.47</v>
      </c>
      <c r="O64" s="6">
        <v>63.01</v>
      </c>
      <c r="P64" s="5">
        <v>554977640</v>
      </c>
    </row>
    <row r="65" spans="1:16">
      <c r="A65" t="s">
        <v>20</v>
      </c>
      <c r="B65">
        <v>2013</v>
      </c>
      <c r="C65">
        <v>220559</v>
      </c>
      <c r="D65">
        <v>12.541748046875</v>
      </c>
      <c r="E65">
        <v>0.0207448473617471</v>
      </c>
      <c r="F65">
        <v>23908</v>
      </c>
      <c r="G65">
        <v>59.37756</v>
      </c>
      <c r="H65">
        <v>75354</v>
      </c>
      <c r="I65">
        <v>0.486901910302298</v>
      </c>
      <c r="J65">
        <v>0.00099371064761703</v>
      </c>
      <c r="K65">
        <v>193807</v>
      </c>
      <c r="L65" s="6">
        <v>114.89</v>
      </c>
      <c r="M65" s="6">
        <v>14.74</v>
      </c>
      <c r="N65" s="6">
        <v>17.41</v>
      </c>
      <c r="O65" s="6">
        <v>64.39</v>
      </c>
      <c r="P65" s="5">
        <v>617299968</v>
      </c>
    </row>
    <row r="66" spans="1:16">
      <c r="A66" t="s">
        <v>20</v>
      </c>
      <c r="B66">
        <v>2014</v>
      </c>
      <c r="C66">
        <v>204890</v>
      </c>
      <c r="D66">
        <v>12.7852916314455</v>
      </c>
      <c r="E66">
        <v>0.0211487683197231</v>
      </c>
      <c r="F66">
        <v>25744</v>
      </c>
      <c r="G66">
        <v>48.5</v>
      </c>
      <c r="H66">
        <v>81874</v>
      </c>
      <c r="I66">
        <v>0.474040503734003</v>
      </c>
      <c r="J66">
        <v>0.000745141370986377</v>
      </c>
      <c r="K66">
        <v>188657</v>
      </c>
      <c r="L66" s="6">
        <v>110</v>
      </c>
      <c r="M66" s="6">
        <v>14.25</v>
      </c>
      <c r="N66" s="6">
        <v>17.42</v>
      </c>
      <c r="O66" s="6">
        <v>65.7</v>
      </c>
      <c r="P66" s="5">
        <v>677998594</v>
      </c>
    </row>
    <row r="67" spans="1:16">
      <c r="A67" t="s">
        <v>20</v>
      </c>
      <c r="B67">
        <v>2015</v>
      </c>
      <c r="C67">
        <v>206427</v>
      </c>
      <c r="D67">
        <v>12.7330126277811</v>
      </c>
      <c r="E67">
        <v>0.0214858000370242</v>
      </c>
      <c r="F67">
        <v>27332</v>
      </c>
      <c r="G67">
        <v>62.2</v>
      </c>
      <c r="H67">
        <v>87995</v>
      </c>
      <c r="I67">
        <v>0.457018032020478</v>
      </c>
      <c r="J67">
        <v>0.000887096567164477</v>
      </c>
      <c r="K67">
        <v>181829</v>
      </c>
      <c r="L67" s="6">
        <v>105.46</v>
      </c>
      <c r="M67" s="6">
        <v>13.77</v>
      </c>
      <c r="N67" s="6">
        <v>17.34</v>
      </c>
      <c r="O67" s="6">
        <v>67.49</v>
      </c>
      <c r="P67" s="5">
        <v>731678425</v>
      </c>
    </row>
    <row r="68" spans="1:16">
      <c r="A68" t="s">
        <v>20</v>
      </c>
      <c r="B68">
        <v>2016</v>
      </c>
      <c r="C68">
        <v>179400</v>
      </c>
      <c r="D68">
        <v>12.6327407230641</v>
      </c>
      <c r="E68">
        <v>0.0214185118211698</v>
      </c>
      <c r="F68">
        <v>28058</v>
      </c>
      <c r="G68">
        <v>74.8</v>
      </c>
      <c r="H68">
        <v>96887</v>
      </c>
      <c r="I68">
        <v>0.4473480997381</v>
      </c>
      <c r="J68">
        <v>0.000966554625584132</v>
      </c>
      <c r="K68">
        <v>185480</v>
      </c>
      <c r="L68" s="6">
        <v>57.85</v>
      </c>
      <c r="M68" s="6">
        <v>4.5</v>
      </c>
      <c r="N68" s="6">
        <v>9.56</v>
      </c>
      <c r="O68" s="6">
        <v>68.93</v>
      </c>
      <c r="P68" s="5">
        <v>812009947</v>
      </c>
    </row>
    <row r="69" spans="1:16">
      <c r="A69" t="s">
        <v>20</v>
      </c>
      <c r="B69">
        <v>2017</v>
      </c>
      <c r="C69">
        <v>165213</v>
      </c>
      <c r="D69">
        <v>12.5697494954292</v>
      </c>
      <c r="E69">
        <v>0.0213565660367515</v>
      </c>
      <c r="F69">
        <v>29621</v>
      </c>
      <c r="G69">
        <v>44.79986</v>
      </c>
      <c r="H69">
        <v>107150</v>
      </c>
      <c r="I69">
        <v>0.450156958631304</v>
      </c>
      <c r="J69">
        <v>0.000521718705164659</v>
      </c>
      <c r="K69">
        <v>192390</v>
      </c>
      <c r="L69" s="6">
        <v>53.03</v>
      </c>
      <c r="M69" s="6">
        <v>3.91</v>
      </c>
      <c r="N69" s="6">
        <v>9.56</v>
      </c>
      <c r="O69" s="6">
        <v>70.18</v>
      </c>
      <c r="P69" s="5">
        <v>902524450</v>
      </c>
    </row>
    <row r="70" spans="1:16">
      <c r="A70" t="s">
        <v>20</v>
      </c>
      <c r="B70">
        <v>2018</v>
      </c>
      <c r="C70">
        <v>143600</v>
      </c>
      <c r="D70">
        <v>12.5355197726735</v>
      </c>
      <c r="E70">
        <v>0.0218641481110293</v>
      </c>
      <c r="F70">
        <v>31251</v>
      </c>
      <c r="G70">
        <v>82.88992</v>
      </c>
      <c r="H70">
        <v>115168.408</v>
      </c>
      <c r="I70">
        <v>0.445470509334157</v>
      </c>
      <c r="J70">
        <v>0.000895183994021301</v>
      </c>
      <c r="K70">
        <v>186641</v>
      </c>
      <c r="L70" s="6">
        <v>48.8</v>
      </c>
      <c r="M70" s="6">
        <v>3.59</v>
      </c>
      <c r="N70" s="6">
        <v>9.32</v>
      </c>
      <c r="O70" s="6">
        <v>71.19</v>
      </c>
      <c r="P70" s="5">
        <v>972712373.968</v>
      </c>
    </row>
    <row r="71" spans="1:16">
      <c r="A71" t="s">
        <v>20</v>
      </c>
      <c r="B71">
        <v>2019</v>
      </c>
      <c r="C71">
        <v>132162.28</v>
      </c>
      <c r="D71">
        <v>12.501475971189</v>
      </c>
      <c r="E71">
        <v>0.0221431739674352</v>
      </c>
      <c r="F71">
        <v>31575</v>
      </c>
      <c r="G71">
        <v>59.99226</v>
      </c>
      <c r="H71">
        <v>123607</v>
      </c>
      <c r="I71">
        <v>0.444342412923139</v>
      </c>
      <c r="J71">
        <v>0.0006021413705221</v>
      </c>
      <c r="K71">
        <v>179951</v>
      </c>
      <c r="L71" s="6">
        <v>47.41</v>
      </c>
      <c r="M71" s="6">
        <v>3.35</v>
      </c>
      <c r="N71" s="6">
        <v>8.82</v>
      </c>
      <c r="O71" s="6">
        <v>72.47</v>
      </c>
      <c r="P71" s="5">
        <v>1046827683</v>
      </c>
    </row>
    <row r="72" spans="1:16">
      <c r="A72" t="s">
        <v>20</v>
      </c>
      <c r="B72">
        <v>2020</v>
      </c>
      <c r="C72">
        <v>114700</v>
      </c>
      <c r="D72">
        <v>12.4896779521057</v>
      </c>
      <c r="E72">
        <v>0.0231864496707425</v>
      </c>
      <c r="F72">
        <v>32447</v>
      </c>
      <c r="G72">
        <v>53.1335</v>
      </c>
      <c r="H72">
        <v>121231</v>
      </c>
      <c r="I72">
        <v>0.430557526953636</v>
      </c>
      <c r="J72">
        <v>0.000517270518067839</v>
      </c>
      <c r="K72">
        <v>177629</v>
      </c>
      <c r="L72" s="6">
        <v>120.78</v>
      </c>
      <c r="M72" s="6">
        <v>5.19</v>
      </c>
      <c r="N72" s="6">
        <v>18.65</v>
      </c>
      <c r="O72" s="6">
        <v>73.44</v>
      </c>
      <c r="P72" s="5">
        <v>1027675187</v>
      </c>
    </row>
    <row r="73" spans="1:16">
      <c r="A73" t="s">
        <v>20</v>
      </c>
      <c r="B73">
        <v>2021</v>
      </c>
      <c r="C73">
        <v>121700</v>
      </c>
      <c r="D73">
        <v>12.4485596707819</v>
      </c>
      <c r="E73">
        <v>0.0233459420509057</v>
      </c>
      <c r="F73">
        <v>38127</v>
      </c>
      <c r="G73">
        <v>9.82286</v>
      </c>
      <c r="H73">
        <v>137039</v>
      </c>
      <c r="I73">
        <v>0.444942688558852</v>
      </c>
      <c r="J73">
        <v>8.44147942408404e-5</v>
      </c>
      <c r="K73">
        <v>171106</v>
      </c>
      <c r="L73" s="6">
        <v>119.49</v>
      </c>
      <c r="M73" s="6">
        <v>4.33</v>
      </c>
      <c r="N73" s="6">
        <v>17.55</v>
      </c>
      <c r="O73" s="6">
        <v>73.94</v>
      </c>
      <c r="P73" s="5">
        <v>1165516695</v>
      </c>
    </row>
    <row r="74" spans="1:16">
      <c r="A74" t="s">
        <v>20</v>
      </c>
      <c r="B74">
        <v>2022</v>
      </c>
      <c r="C74">
        <v>112921.829527446</v>
      </c>
      <c r="D74">
        <v>12.4339401056958</v>
      </c>
      <c r="E74">
        <v>0.0243634814397651</v>
      </c>
      <c r="F74">
        <v>43654</v>
      </c>
      <c r="G74">
        <v>7.33818</v>
      </c>
      <c r="H74">
        <v>144390</v>
      </c>
      <c r="I74">
        <v>0.454839691525413</v>
      </c>
      <c r="J74">
        <v>5.97204001445364e-5</v>
      </c>
      <c r="K74">
        <v>172188</v>
      </c>
      <c r="L74" s="6">
        <v>124.01</v>
      </c>
      <c r="M74" s="6">
        <v>4.01</v>
      </c>
      <c r="N74" s="6">
        <v>17.39</v>
      </c>
      <c r="O74" s="6">
        <v>74.4</v>
      </c>
      <c r="P74" s="5">
        <v>1229480850</v>
      </c>
    </row>
    <row r="75" spans="1:16">
      <c r="A75" t="s">
        <v>20</v>
      </c>
      <c r="B75">
        <v>2023</v>
      </c>
      <c r="C75">
        <v>105381.984264555</v>
      </c>
      <c r="D75">
        <v>12.4178981937603</v>
      </c>
      <c r="E75">
        <v>0.0257497797573275</v>
      </c>
      <c r="F75">
        <v>52807</v>
      </c>
      <c r="G75">
        <v>19.48091</v>
      </c>
      <c r="H75">
        <v>150487</v>
      </c>
      <c r="I75">
        <v>0.44383655872384</v>
      </c>
      <c r="J75">
        <v>0.000151930866885765</v>
      </c>
      <c r="K75">
        <v>171452</v>
      </c>
      <c r="L75" s="6">
        <v>127.68</v>
      </c>
      <c r="M75" s="6">
        <v>5.4</v>
      </c>
      <c r="N75" s="6">
        <v>17.13</v>
      </c>
      <c r="O75" s="6">
        <v>75</v>
      </c>
      <c r="P75" s="5">
        <v>1283052162</v>
      </c>
    </row>
    <row r="76" spans="1:16">
      <c r="A76" t="s">
        <v>20</v>
      </c>
      <c r="B76">
        <v>2024</v>
      </c>
      <c r="C76">
        <v>97842.141</v>
      </c>
      <c r="D76">
        <v>12.0540699038236</v>
      </c>
      <c r="E76">
        <v>0.0260007834579003</v>
      </c>
      <c r="G76">
        <v>27.66797</v>
      </c>
      <c r="H76">
        <v>160694</v>
      </c>
      <c r="I76">
        <v>0.431946309704543</v>
      </c>
      <c r="J76">
        <v>0.000201944193039823</v>
      </c>
      <c r="L76" s="6">
        <v>120.63</v>
      </c>
      <c r="M76" s="6">
        <v>5.05</v>
      </c>
      <c r="N76" s="6">
        <v>16.47</v>
      </c>
      <c r="O76" s="6">
        <v>75.5</v>
      </c>
      <c r="P76" s="5">
        <v>1370077044</v>
      </c>
    </row>
    <row r="77" spans="1:16">
      <c r="A77" t="s">
        <v>21</v>
      </c>
      <c r="B77">
        <v>2010</v>
      </c>
      <c r="C77">
        <v>217426</v>
      </c>
      <c r="D77">
        <v>19.130346979989</v>
      </c>
      <c r="E77">
        <v>0.0137016297222947</v>
      </c>
      <c r="F77">
        <v>78846</v>
      </c>
      <c r="G77">
        <v>11.95682</v>
      </c>
      <c r="H77">
        <v>51711</v>
      </c>
      <c r="I77">
        <v>0.515755360934929</v>
      </c>
      <c r="J77">
        <v>0.000431306770611829</v>
      </c>
      <c r="K77">
        <v>93905</v>
      </c>
      <c r="L77" s="6">
        <v>48.7</v>
      </c>
      <c r="M77" s="6">
        <v>3.97</v>
      </c>
      <c r="N77" s="6">
        <v>9.16</v>
      </c>
      <c r="O77" s="6">
        <v>61.62</v>
      </c>
      <c r="P77" s="5">
        <v>281669817</v>
      </c>
    </row>
    <row r="78" spans="1:16">
      <c r="A78" t="s">
        <v>21</v>
      </c>
      <c r="B78">
        <v>2011</v>
      </c>
      <c r="C78">
        <v>182240</v>
      </c>
      <c r="D78">
        <v>18.7078994614004</v>
      </c>
      <c r="E78">
        <v>0.0148491341740192</v>
      </c>
      <c r="F78">
        <v>86700</v>
      </c>
      <c r="G78">
        <v>17.83728</v>
      </c>
      <c r="H78">
        <v>59249</v>
      </c>
      <c r="I78">
        <v>0.512257707189458</v>
      </c>
      <c r="J78">
        <v>0.00055191567769274</v>
      </c>
      <c r="K78">
        <v>90839</v>
      </c>
      <c r="L78" s="6">
        <v>81.83</v>
      </c>
      <c r="M78" s="6">
        <v>11.54</v>
      </c>
      <c r="N78" s="6">
        <v>9.23</v>
      </c>
      <c r="O78" s="6">
        <v>62.29</v>
      </c>
      <c r="P78" s="5">
        <v>330016930</v>
      </c>
    </row>
    <row r="79" spans="1:16">
      <c r="A79" t="s">
        <v>21</v>
      </c>
      <c r="B79">
        <v>2012</v>
      </c>
      <c r="C79">
        <v>175416</v>
      </c>
      <c r="D79">
        <v>18.3294635004398</v>
      </c>
      <c r="E79">
        <v>0.0169797062367501</v>
      </c>
      <c r="F79">
        <v>92760</v>
      </c>
      <c r="G79">
        <v>28.30228</v>
      </c>
      <c r="H79">
        <v>63374</v>
      </c>
      <c r="I79">
        <v>0.499528491435102</v>
      </c>
      <c r="J79">
        <v>0.000816443403250452</v>
      </c>
      <c r="K79">
        <v>89747</v>
      </c>
      <c r="L79" s="6">
        <v>78.62</v>
      </c>
      <c r="M79" s="6">
        <v>11.23</v>
      </c>
      <c r="N79" s="6">
        <v>9.23</v>
      </c>
      <c r="O79" s="6">
        <v>62.91</v>
      </c>
      <c r="P79" s="5">
        <v>360281190</v>
      </c>
    </row>
    <row r="80" spans="1:16">
      <c r="A80" t="s">
        <v>21</v>
      </c>
      <c r="B80">
        <v>2013</v>
      </c>
      <c r="C80">
        <v>163674</v>
      </c>
      <c r="D80">
        <v>18.0108921161826</v>
      </c>
      <c r="E80">
        <v>0.0181254817041162</v>
      </c>
      <c r="F80">
        <v>100591</v>
      </c>
      <c r="G80">
        <v>57.66446</v>
      </c>
      <c r="H80">
        <v>68805</v>
      </c>
      <c r="I80">
        <v>0.488567820496454</v>
      </c>
      <c r="J80">
        <v>0.00152726915414479</v>
      </c>
      <c r="K80">
        <v>89358</v>
      </c>
      <c r="L80" s="6">
        <v>75.51</v>
      </c>
      <c r="M80" s="6">
        <v>10.75</v>
      </c>
      <c r="N80" s="6">
        <v>9.38</v>
      </c>
      <c r="O80" s="6">
        <v>63.94</v>
      </c>
      <c r="P80" s="5">
        <v>397968120</v>
      </c>
    </row>
    <row r="81" spans="1:16">
      <c r="A81" t="s">
        <v>21</v>
      </c>
      <c r="B81">
        <v>2014</v>
      </c>
      <c r="C81">
        <v>149380</v>
      </c>
      <c r="D81">
        <v>17.7320882852292</v>
      </c>
      <c r="E81">
        <v>0.0191209699641775</v>
      </c>
      <c r="F81">
        <v>108177</v>
      </c>
      <c r="G81">
        <v>67.6</v>
      </c>
      <c r="H81">
        <v>73002</v>
      </c>
      <c r="I81">
        <v>0.477311768616905</v>
      </c>
      <c r="J81">
        <v>0.00168272096976504</v>
      </c>
      <c r="K81">
        <v>88178</v>
      </c>
      <c r="L81" s="6">
        <v>72.54</v>
      </c>
      <c r="M81" s="6">
        <v>10.32</v>
      </c>
      <c r="N81" s="6">
        <v>9.59</v>
      </c>
      <c r="O81" s="6">
        <v>64.96</v>
      </c>
      <c r="P81" s="5">
        <v>429981780</v>
      </c>
    </row>
    <row r="82" spans="1:16">
      <c r="A82" t="s">
        <v>21</v>
      </c>
      <c r="B82">
        <v>2015</v>
      </c>
      <c r="C82">
        <v>147353</v>
      </c>
      <c r="D82">
        <v>17.453634085213</v>
      </c>
      <c r="E82">
        <v>0.0199029790034111</v>
      </c>
      <c r="F82">
        <v>109930</v>
      </c>
      <c r="G82">
        <v>58.6</v>
      </c>
      <c r="H82">
        <v>77643.68607</v>
      </c>
      <c r="I82">
        <v>0.459624231313871</v>
      </c>
      <c r="J82">
        <v>0.00136639766975567</v>
      </c>
      <c r="K82">
        <v>85881</v>
      </c>
      <c r="L82" s="6">
        <v>68.32</v>
      </c>
      <c r="M82" s="6">
        <v>9.85</v>
      </c>
      <c r="N82" s="6">
        <v>8.43</v>
      </c>
      <c r="O82" s="6">
        <v>66.32</v>
      </c>
      <c r="P82" s="5">
        <v>464697461.12895</v>
      </c>
    </row>
    <row r="83" spans="1:16">
      <c r="A83" t="s">
        <v>21</v>
      </c>
      <c r="B83">
        <v>2016</v>
      </c>
      <c r="C83">
        <v>129913</v>
      </c>
      <c r="D83">
        <v>17.203557312253</v>
      </c>
      <c r="E83">
        <v>0.0198044608663116</v>
      </c>
      <c r="F83">
        <v>114202</v>
      </c>
      <c r="G83">
        <v>60.2</v>
      </c>
      <c r="H83">
        <v>84916</v>
      </c>
      <c r="I83">
        <v>0.448550263950075</v>
      </c>
      <c r="J83">
        <v>0.00127403740336786</v>
      </c>
      <c r="K83">
        <v>78701</v>
      </c>
      <c r="L83" s="6">
        <v>27.76</v>
      </c>
      <c r="M83" s="6">
        <v>2.01</v>
      </c>
      <c r="N83" s="6">
        <v>6.4</v>
      </c>
      <c r="O83" s="6">
        <v>67.72</v>
      </c>
      <c r="P83" s="5">
        <v>515609952</v>
      </c>
    </row>
    <row r="84" spans="1:16">
      <c r="A84" t="s">
        <v>21</v>
      </c>
      <c r="B84">
        <v>2017</v>
      </c>
      <c r="C84">
        <v>122917</v>
      </c>
      <c r="D84">
        <v>16.9303079416532</v>
      </c>
      <c r="E84">
        <v>0.0198991563556511</v>
      </c>
      <c r="F84">
        <v>125744</v>
      </c>
      <c r="G84">
        <v>36.90109</v>
      </c>
      <c r="H84">
        <v>92057.01076</v>
      </c>
      <c r="I84">
        <v>0.429453877723532</v>
      </c>
      <c r="J84">
        <v>0.000712813024814819</v>
      </c>
      <c r="K84">
        <v>75954</v>
      </c>
      <c r="L84" s="6">
        <v>23.28</v>
      </c>
      <c r="M84" s="6">
        <v>1.6</v>
      </c>
      <c r="N84" s="6">
        <v>6.02</v>
      </c>
      <c r="O84" s="6">
        <v>68.91</v>
      </c>
      <c r="P84" s="5">
        <v>567991756.3892</v>
      </c>
    </row>
    <row r="85" spans="1:16">
      <c r="A85" t="s">
        <v>21</v>
      </c>
      <c r="B85">
        <v>2018</v>
      </c>
      <c r="C85">
        <v>119936</v>
      </c>
      <c r="D85">
        <v>16.6523194643711</v>
      </c>
      <c r="E85">
        <v>0.0204172652883643</v>
      </c>
      <c r="F85">
        <v>133534</v>
      </c>
      <c r="G85">
        <v>45.44629</v>
      </c>
      <c r="H85">
        <v>98643.40881</v>
      </c>
      <c r="I85">
        <v>0.418275303996733</v>
      </c>
      <c r="J85">
        <v>0.000808693857250768</v>
      </c>
      <c r="K85">
        <v>80924</v>
      </c>
      <c r="L85" s="6">
        <v>21.75</v>
      </c>
      <c r="M85" s="6">
        <v>1.45</v>
      </c>
      <c r="N85" s="6">
        <v>5.32</v>
      </c>
      <c r="O85" s="6">
        <v>70.02</v>
      </c>
      <c r="P85" s="5">
        <v>618790103.46513</v>
      </c>
    </row>
    <row r="86" spans="1:16">
      <c r="A86" t="s">
        <v>21</v>
      </c>
      <c r="B86">
        <v>2019</v>
      </c>
      <c r="C86">
        <v>119583</v>
      </c>
      <c r="D86">
        <v>16.3858823529412</v>
      </c>
      <c r="E86">
        <v>0.0204360941651348</v>
      </c>
      <c r="F86">
        <v>135364</v>
      </c>
      <c r="G86">
        <v>34.06497</v>
      </c>
      <c r="H86">
        <v>107623.61</v>
      </c>
      <c r="I86">
        <v>0.426076321206112</v>
      </c>
      <c r="J86">
        <v>0.000546335515255869</v>
      </c>
      <c r="K86">
        <v>82019</v>
      </c>
      <c r="L86" s="6">
        <v>20.62</v>
      </c>
      <c r="M86" s="6">
        <v>1.34</v>
      </c>
      <c r="N86" s="6">
        <v>5.36</v>
      </c>
      <c r="O86" s="6">
        <v>71.58</v>
      </c>
      <c r="P86" s="5">
        <v>686100513.75</v>
      </c>
    </row>
    <row r="87" spans="1:16">
      <c r="A87" t="s">
        <v>21</v>
      </c>
      <c r="B87">
        <v>2020</v>
      </c>
      <c r="C87">
        <v>100263</v>
      </c>
      <c r="D87">
        <v>16.1502782931354</v>
      </c>
      <c r="E87">
        <v>0.0216038799418201</v>
      </c>
      <c r="F87">
        <v>141447</v>
      </c>
      <c r="G87">
        <v>50.5097</v>
      </c>
      <c r="H87">
        <v>100620</v>
      </c>
      <c r="I87">
        <v>0.408784780356502</v>
      </c>
      <c r="J87">
        <v>0.000781722474027809</v>
      </c>
      <c r="K87">
        <v>82535</v>
      </c>
      <c r="L87" s="6">
        <v>53.22</v>
      </c>
      <c r="M87" s="6">
        <v>3.84</v>
      </c>
      <c r="N87" s="6">
        <v>12.32</v>
      </c>
      <c r="O87" s="6">
        <v>72.17</v>
      </c>
      <c r="P87" s="5">
        <v>650810160</v>
      </c>
    </row>
    <row r="88" spans="1:16">
      <c r="A88" t="s">
        <v>21</v>
      </c>
      <c r="B88">
        <v>2021</v>
      </c>
      <c r="C88">
        <v>103863</v>
      </c>
      <c r="D88">
        <v>15.9724770642202</v>
      </c>
      <c r="E88">
        <v>0.0216505888530085</v>
      </c>
      <c r="F88">
        <v>149010</v>
      </c>
      <c r="G88">
        <v>17.55381</v>
      </c>
      <c r="H88">
        <v>113032</v>
      </c>
      <c r="I88">
        <v>0.424243495955971</v>
      </c>
      <c r="J88">
        <v>0.000238776018216492</v>
      </c>
      <c r="K88">
        <v>81466</v>
      </c>
      <c r="L88" s="6">
        <v>49.87</v>
      </c>
      <c r="M88" s="6">
        <v>3.5</v>
      </c>
      <c r="N88" s="6">
        <v>12.72</v>
      </c>
      <c r="O88" s="6">
        <v>72.7</v>
      </c>
      <c r="P88" s="5">
        <v>739229280</v>
      </c>
    </row>
    <row r="89" spans="1:16">
      <c r="A89" t="s">
        <v>21</v>
      </c>
      <c r="B89">
        <v>2022</v>
      </c>
      <c r="C89">
        <v>101700</v>
      </c>
      <c r="D89">
        <v>15.8826212558917</v>
      </c>
      <c r="E89">
        <v>0.0227503995347126</v>
      </c>
      <c r="F89">
        <v>154094</v>
      </c>
      <c r="G89">
        <v>27.74706</v>
      </c>
      <c r="H89">
        <v>118496</v>
      </c>
      <c r="I89">
        <v>0.42726666786763</v>
      </c>
      <c r="J89">
        <v>0.000357034255758833</v>
      </c>
      <c r="K89">
        <v>83439</v>
      </c>
      <c r="L89" s="6">
        <v>46.75</v>
      </c>
      <c r="M89" s="6">
        <v>2.87</v>
      </c>
      <c r="N89" s="6">
        <v>12.03</v>
      </c>
      <c r="O89" s="6">
        <v>73.4</v>
      </c>
      <c r="P89" s="5">
        <v>779348192</v>
      </c>
    </row>
    <row r="90" spans="1:16">
      <c r="A90" t="s">
        <v>21</v>
      </c>
      <c r="B90">
        <v>2023</v>
      </c>
      <c r="C90">
        <v>96604.2002645006</v>
      </c>
      <c r="D90">
        <v>15.7627885921231</v>
      </c>
      <c r="E90">
        <v>0.0221381606043133</v>
      </c>
      <c r="F90">
        <v>162533</v>
      </c>
      <c r="G90">
        <v>21.35609</v>
      </c>
      <c r="H90">
        <v>125043</v>
      </c>
      <c r="I90">
        <v>0.411282663785292</v>
      </c>
      <c r="J90">
        <v>0.0002586948779696</v>
      </c>
      <c r="K90">
        <v>84255</v>
      </c>
      <c r="L90" s="6">
        <v>54.3</v>
      </c>
      <c r="M90" s="6">
        <v>4.16</v>
      </c>
      <c r="N90" s="6">
        <v>11.7</v>
      </c>
      <c r="O90" s="6">
        <v>74.2</v>
      </c>
      <c r="P90" s="5">
        <v>828659961</v>
      </c>
    </row>
    <row r="91" spans="1:16">
      <c r="A91" t="s">
        <v>21</v>
      </c>
      <c r="B91">
        <v>2024</v>
      </c>
      <c r="C91">
        <v>91508.406</v>
      </c>
      <c r="D91">
        <v>15.6226386806597</v>
      </c>
      <c r="E91">
        <v>0.0218857749754246</v>
      </c>
      <c r="G91">
        <v>24.70923</v>
      </c>
      <c r="H91">
        <v>135565</v>
      </c>
      <c r="I91">
        <v>0.385914439713039</v>
      </c>
      <c r="J91">
        <v>0.000274149179080135</v>
      </c>
      <c r="L91" s="6">
        <v>51.44</v>
      </c>
      <c r="M91" s="6">
        <v>3.94</v>
      </c>
      <c r="N91" s="6">
        <v>11.39</v>
      </c>
      <c r="O91" s="6">
        <v>75.5</v>
      </c>
      <c r="P91" s="5">
        <v>904218550</v>
      </c>
    </row>
    <row r="92" spans="1:16">
      <c r="A92" t="s">
        <v>22</v>
      </c>
      <c r="B92">
        <v>2010</v>
      </c>
      <c r="C92">
        <v>124168</v>
      </c>
      <c r="D92">
        <v>33.8480909829407</v>
      </c>
      <c r="E92">
        <v>0.01034507194531</v>
      </c>
      <c r="F92">
        <v>32687</v>
      </c>
      <c r="G92">
        <v>15.32955</v>
      </c>
      <c r="H92">
        <v>40025</v>
      </c>
      <c r="I92">
        <v>0.510468124029661</v>
      </c>
      <c r="J92">
        <v>0.00104019984908856</v>
      </c>
      <c r="K92">
        <v>137636</v>
      </c>
      <c r="L92" s="6">
        <v>37.3</v>
      </c>
      <c r="M92" s="6">
        <v>2.98</v>
      </c>
      <c r="N92" s="6">
        <v>9.51</v>
      </c>
      <c r="O92" s="6">
        <v>57.11</v>
      </c>
      <c r="P92" s="5">
        <v>147812325</v>
      </c>
    </row>
    <row r="93" spans="1:16">
      <c r="A93" t="s">
        <v>22</v>
      </c>
      <c r="B93">
        <v>2011</v>
      </c>
      <c r="C93">
        <v>177186</v>
      </c>
      <c r="D93">
        <v>33.0340909090909</v>
      </c>
      <c r="E93">
        <v>0.0110704622617764</v>
      </c>
      <c r="F93">
        <v>37279</v>
      </c>
      <c r="G93">
        <v>14.25992</v>
      </c>
      <c r="H93">
        <v>47377</v>
      </c>
      <c r="I93">
        <v>0.516463954241927</v>
      </c>
      <c r="J93">
        <v>0.000812060013052258</v>
      </c>
      <c r="K93">
        <v>142315</v>
      </c>
      <c r="L93" s="6">
        <v>67.94</v>
      </c>
      <c r="M93" s="6">
        <v>9.54</v>
      </c>
      <c r="N93" s="6">
        <v>9.55</v>
      </c>
      <c r="O93" s="6">
        <v>58.11</v>
      </c>
      <c r="P93" s="5">
        <v>179274568</v>
      </c>
    </row>
    <row r="94" spans="1:16">
      <c r="A94" t="s">
        <v>22</v>
      </c>
      <c r="B94">
        <v>2012</v>
      </c>
      <c r="C94">
        <v>106319</v>
      </c>
      <c r="D94">
        <v>32.5438687841708</v>
      </c>
      <c r="E94">
        <v>0.0120885331173122</v>
      </c>
      <c r="F94">
        <v>41359</v>
      </c>
      <c r="G94">
        <v>23.76346</v>
      </c>
      <c r="H94">
        <v>52763</v>
      </c>
      <c r="I94">
        <v>0.517107591293782</v>
      </c>
      <c r="J94">
        <v>0.00120615802227007</v>
      </c>
      <c r="K94">
        <v>145486</v>
      </c>
      <c r="L94" s="6">
        <v>66</v>
      </c>
      <c r="M94" s="6">
        <v>9.32</v>
      </c>
      <c r="N94" s="6">
        <v>9.57</v>
      </c>
      <c r="O94" s="6">
        <v>59.32</v>
      </c>
      <c r="P94" s="5">
        <v>202662683</v>
      </c>
    </row>
    <row r="95" spans="1:16">
      <c r="A95" t="s">
        <v>22</v>
      </c>
      <c r="B95">
        <v>2013</v>
      </c>
      <c r="C95">
        <v>104658</v>
      </c>
      <c r="D95">
        <v>31.9431145431145</v>
      </c>
      <c r="E95">
        <v>0.0127670717091121</v>
      </c>
      <c r="F95">
        <v>45475</v>
      </c>
      <c r="G95">
        <v>38.39635</v>
      </c>
      <c r="H95">
        <v>58145</v>
      </c>
      <c r="I95">
        <v>0.517424842776067</v>
      </c>
      <c r="J95">
        <v>0.00175578423567425</v>
      </c>
      <c r="K95">
        <v>154453</v>
      </c>
      <c r="L95" s="6">
        <v>63.9</v>
      </c>
      <c r="M95" s="6">
        <v>9.09</v>
      </c>
      <c r="N95" s="6">
        <v>9.64</v>
      </c>
      <c r="O95" s="6">
        <v>60.8</v>
      </c>
      <c r="P95" s="5">
        <v>225893325</v>
      </c>
    </row>
    <row r="96" spans="1:16">
      <c r="A96" t="s">
        <v>22</v>
      </c>
      <c r="B96">
        <v>2014</v>
      </c>
      <c r="C96">
        <v>102052</v>
      </c>
      <c r="D96">
        <v>31.5399239543726</v>
      </c>
      <c r="E96">
        <v>0.0131105024326814</v>
      </c>
      <c r="F96">
        <v>49166</v>
      </c>
      <c r="G96">
        <v>42.4</v>
      </c>
      <c r="H96">
        <v>63472</v>
      </c>
      <c r="I96">
        <v>0.520264585280199</v>
      </c>
      <c r="J96">
        <v>0.00176257162525732</v>
      </c>
      <c r="K96">
        <v>161418</v>
      </c>
      <c r="L96" s="6">
        <v>62.98</v>
      </c>
      <c r="M96" s="6">
        <v>8.93</v>
      </c>
      <c r="N96" s="6">
        <v>9.32</v>
      </c>
      <c r="O96" s="6">
        <v>61.99</v>
      </c>
      <c r="P96" s="5">
        <v>250397040</v>
      </c>
    </row>
    <row r="97" spans="1:16">
      <c r="A97" t="s">
        <v>22</v>
      </c>
      <c r="B97">
        <v>2015</v>
      </c>
      <c r="C97">
        <v>90741</v>
      </c>
      <c r="D97">
        <v>31.1646586345382</v>
      </c>
      <c r="E97">
        <v>0.0133557896090119</v>
      </c>
      <c r="F97">
        <v>50282</v>
      </c>
      <c r="G97">
        <v>44.7</v>
      </c>
      <c r="H97">
        <v>67965.51995</v>
      </c>
      <c r="I97">
        <v>0.502883391801791</v>
      </c>
      <c r="J97">
        <v>0.00172056619329926</v>
      </c>
      <c r="K97">
        <v>166075</v>
      </c>
      <c r="L97" s="6">
        <v>60.94</v>
      </c>
      <c r="M97" s="6">
        <v>8.51</v>
      </c>
      <c r="N97" s="6">
        <v>9.15</v>
      </c>
      <c r="O97" s="6">
        <v>63.22</v>
      </c>
      <c r="P97" s="5">
        <v>270774631.4808</v>
      </c>
    </row>
    <row r="98" spans="1:16">
      <c r="A98" t="s">
        <v>22</v>
      </c>
      <c r="B98">
        <v>2016</v>
      </c>
      <c r="C98">
        <v>68872</v>
      </c>
      <c r="D98">
        <v>30.9163346613546</v>
      </c>
      <c r="E98">
        <v>0.0134764107491068</v>
      </c>
      <c r="F98">
        <v>50776</v>
      </c>
      <c r="G98">
        <v>22.6</v>
      </c>
      <c r="H98">
        <v>74707</v>
      </c>
      <c r="I98">
        <v>0.489176892655406</v>
      </c>
      <c r="J98">
        <v>0.000784434051657412</v>
      </c>
      <c r="K98">
        <v>153000</v>
      </c>
      <c r="L98" s="6">
        <v>28.88</v>
      </c>
      <c r="M98" s="6">
        <v>1.95</v>
      </c>
      <c r="N98" s="6">
        <v>4</v>
      </c>
      <c r="O98" s="6">
        <v>64.39</v>
      </c>
      <c r="P98" s="5">
        <v>300023312</v>
      </c>
    </row>
    <row r="99" spans="1:16">
      <c r="A99" t="s">
        <v>22</v>
      </c>
      <c r="B99">
        <v>2017</v>
      </c>
      <c r="C99">
        <v>69900</v>
      </c>
      <c r="D99">
        <v>30.5436654366544</v>
      </c>
      <c r="E99">
        <v>0.0139454398393641</v>
      </c>
      <c r="F99">
        <v>51995</v>
      </c>
      <c r="G99">
        <v>14.73943</v>
      </c>
      <c r="H99">
        <v>82677</v>
      </c>
      <c r="I99">
        <v>0.47710667641536</v>
      </c>
      <c r="J99">
        <v>0.000458001018578967</v>
      </c>
      <c r="K99">
        <v>155739</v>
      </c>
      <c r="L99" s="6">
        <v>26.07</v>
      </c>
      <c r="M99" s="6">
        <v>1.76</v>
      </c>
      <c r="N99" s="6">
        <v>4.02</v>
      </c>
      <c r="O99" s="6">
        <v>65.78</v>
      </c>
      <c r="P99" s="5">
        <v>336082005</v>
      </c>
    </row>
    <row r="100" spans="1:16">
      <c r="A100" t="s">
        <v>22</v>
      </c>
      <c r="B100">
        <v>2018</v>
      </c>
      <c r="C100">
        <v>147007.37</v>
      </c>
      <c r="D100">
        <v>30.2534113060429</v>
      </c>
      <c r="E100">
        <v>0.0146615211579475</v>
      </c>
      <c r="F100">
        <v>55807</v>
      </c>
      <c r="G100">
        <v>4.83943</v>
      </c>
      <c r="H100">
        <v>91197.24911</v>
      </c>
      <c r="I100">
        <v>0.481296524079406</v>
      </c>
      <c r="J100">
        <v>0.000135164355754267</v>
      </c>
      <c r="K100">
        <v>162464</v>
      </c>
      <c r="L100" s="6">
        <v>26.52</v>
      </c>
      <c r="M100" s="6">
        <v>1.74</v>
      </c>
      <c r="N100" s="6">
        <v>4.15</v>
      </c>
      <c r="O100" s="6">
        <v>66.98</v>
      </c>
      <c r="P100" s="5">
        <v>374273510.34744</v>
      </c>
    </row>
    <row r="101" spans="1:16">
      <c r="A101" t="s">
        <v>22</v>
      </c>
      <c r="B101">
        <v>2019</v>
      </c>
      <c r="C101">
        <v>156600</v>
      </c>
      <c r="D101">
        <v>30.0120860526952</v>
      </c>
      <c r="E101">
        <v>0.0141175591461257</v>
      </c>
      <c r="F101">
        <v>59484</v>
      </c>
      <c r="G101">
        <v>12.76453</v>
      </c>
      <c r="H101">
        <v>107139.25</v>
      </c>
      <c r="I101">
        <v>0.485475645712938</v>
      </c>
      <c r="J101">
        <v>0.000301085741243071</v>
      </c>
      <c r="K101">
        <v>163713</v>
      </c>
      <c r="L101" s="6">
        <v>25.16</v>
      </c>
      <c r="M101" s="6">
        <v>1.56</v>
      </c>
      <c r="N101" s="6">
        <v>3.87</v>
      </c>
      <c r="O101" s="6">
        <v>67.87</v>
      </c>
      <c r="P101" s="5">
        <v>443235077.25</v>
      </c>
    </row>
    <row r="102" spans="1:16">
      <c r="A102" t="s">
        <v>22</v>
      </c>
      <c r="B102">
        <v>2020</v>
      </c>
      <c r="C102">
        <v>155200</v>
      </c>
      <c r="D102">
        <v>29.8389810141793</v>
      </c>
      <c r="E102">
        <v>0.0151902961218243</v>
      </c>
      <c r="F102">
        <v>62132</v>
      </c>
      <c r="G102">
        <v>17.5766</v>
      </c>
      <c r="H102">
        <v>105818</v>
      </c>
      <c r="I102">
        <v>0.463029585761079</v>
      </c>
      <c r="J102">
        <v>0.000400342657564056</v>
      </c>
      <c r="K102">
        <v>163144</v>
      </c>
      <c r="L102" s="6">
        <v>62.3</v>
      </c>
      <c r="M102" s="6">
        <v>4.55</v>
      </c>
      <c r="N102" s="6">
        <v>12.22</v>
      </c>
      <c r="O102" s="6">
        <v>68.75</v>
      </c>
      <c r="P102" s="5">
        <v>440308698</v>
      </c>
    </row>
    <row r="103" spans="1:16">
      <c r="A103" t="s">
        <v>22</v>
      </c>
      <c r="B103">
        <v>2021</v>
      </c>
      <c r="C103">
        <v>89151.922</v>
      </c>
      <c r="D103">
        <v>29.653689992835</v>
      </c>
      <c r="E103">
        <v>0.015809201317752</v>
      </c>
      <c r="F103">
        <v>69190</v>
      </c>
      <c r="G103">
        <v>12.04011</v>
      </c>
      <c r="H103">
        <v>116939</v>
      </c>
      <c r="I103">
        <v>0.468471883041319</v>
      </c>
      <c r="J103">
        <v>0.000246670996345041</v>
      </c>
      <c r="K103">
        <v>164641</v>
      </c>
      <c r="L103" s="6">
        <v>55.69</v>
      </c>
      <c r="M103" s="6">
        <v>3.82</v>
      </c>
      <c r="N103" s="6">
        <v>11.59</v>
      </c>
      <c r="O103" s="6">
        <v>69.7</v>
      </c>
      <c r="P103" s="5">
        <v>489623593</v>
      </c>
    </row>
    <row r="104" spans="1:16">
      <c r="A104" t="s">
        <v>22</v>
      </c>
      <c r="B104">
        <v>2022</v>
      </c>
      <c r="C104">
        <v>78178.6644424193</v>
      </c>
      <c r="D104">
        <v>29.6466093600764</v>
      </c>
      <c r="E104">
        <v>0.0159779459196873</v>
      </c>
      <c r="F104">
        <v>71408</v>
      </c>
      <c r="G104">
        <v>12.01373</v>
      </c>
      <c r="H104">
        <v>126829</v>
      </c>
      <c r="I104">
        <v>0.472194449622387</v>
      </c>
      <c r="J104">
        <v>0.000226205095471842</v>
      </c>
      <c r="K104">
        <v>167953</v>
      </c>
      <c r="L104" s="6">
        <v>55.22</v>
      </c>
      <c r="M104" s="6">
        <v>3.62</v>
      </c>
      <c r="N104" s="6">
        <v>11.53</v>
      </c>
      <c r="O104" s="6">
        <v>70.11</v>
      </c>
      <c r="P104" s="5">
        <v>531159852</v>
      </c>
    </row>
    <row r="105" spans="1:16">
      <c r="A105" t="s">
        <v>22</v>
      </c>
      <c r="B105">
        <v>2023</v>
      </c>
      <c r="C105">
        <v>76994.4340692287</v>
      </c>
      <c r="D105">
        <v>29.6820463781975</v>
      </c>
      <c r="E105">
        <v>0.0168758780684793</v>
      </c>
      <c r="F105">
        <v>74894</v>
      </c>
      <c r="G105">
        <v>13.09918</v>
      </c>
      <c r="H105">
        <v>129865</v>
      </c>
      <c r="I105">
        <v>0.440922746899555</v>
      </c>
      <c r="J105">
        <v>0.000240992657542714</v>
      </c>
      <c r="K105">
        <v>177321</v>
      </c>
      <c r="L105" s="6">
        <v>66.24</v>
      </c>
      <c r="M105" s="6">
        <v>5.37</v>
      </c>
      <c r="N105" s="6">
        <v>13.07</v>
      </c>
      <c r="O105" s="6">
        <v>71.04</v>
      </c>
      <c r="P105" s="5">
        <v>543225295</v>
      </c>
    </row>
    <row r="106" spans="1:16">
      <c r="A106" t="s">
        <v>22</v>
      </c>
      <c r="B106">
        <v>2024</v>
      </c>
      <c r="C106">
        <v>75810.211</v>
      </c>
      <c r="D106">
        <v>29.8118292392082</v>
      </c>
      <c r="E106">
        <v>0.0171662723983311</v>
      </c>
      <c r="G106">
        <v>34.60874</v>
      </c>
      <c r="H106">
        <v>137920</v>
      </c>
      <c r="I106">
        <v>0.427852703381174</v>
      </c>
      <c r="J106">
        <v>0.000599171413237305</v>
      </c>
      <c r="L106" s="6">
        <v>60.24</v>
      </c>
      <c r="M106" s="6">
        <v>4.82</v>
      </c>
      <c r="N106" s="6">
        <v>12.54</v>
      </c>
      <c r="O106" s="6">
        <v>71.8</v>
      </c>
      <c r="P106" s="5">
        <v>578298560</v>
      </c>
    </row>
    <row r="107" spans="1:16">
      <c r="A107" t="s">
        <v>23</v>
      </c>
      <c r="B107">
        <v>2010</v>
      </c>
      <c r="C107">
        <v>208257</v>
      </c>
      <c r="D107">
        <v>16.5301418439716</v>
      </c>
      <c r="E107">
        <v>0.0150837079405149</v>
      </c>
      <c r="F107">
        <v>86421</v>
      </c>
      <c r="G107">
        <v>45.67593</v>
      </c>
      <c r="H107">
        <v>41106</v>
      </c>
      <c r="I107">
        <v>0.542214280754211</v>
      </c>
      <c r="J107">
        <v>0.00116609709695603</v>
      </c>
      <c r="K107">
        <v>500946</v>
      </c>
      <c r="L107" s="6">
        <v>62.1</v>
      </c>
      <c r="M107" s="6">
        <v>6.65</v>
      </c>
      <c r="N107" s="6">
        <v>55.78</v>
      </c>
      <c r="O107" s="6">
        <v>49.67</v>
      </c>
      <c r="P107" s="5">
        <v>394124328</v>
      </c>
    </row>
    <row r="108" spans="1:16">
      <c r="A108" t="s">
        <v>23</v>
      </c>
      <c r="B108">
        <v>2011</v>
      </c>
      <c r="C108">
        <v>187245</v>
      </c>
      <c r="D108">
        <v>16.3984480082773</v>
      </c>
      <c r="E108">
        <v>0.0163821667326178</v>
      </c>
      <c r="F108">
        <v>96188</v>
      </c>
      <c r="G108">
        <v>62.44656</v>
      </c>
      <c r="H108">
        <v>47335</v>
      </c>
      <c r="I108">
        <v>0.529456139906111</v>
      </c>
      <c r="J108">
        <v>0.00137663168499521</v>
      </c>
      <c r="K108">
        <v>512126</v>
      </c>
      <c r="L108" s="6">
        <v>198.25</v>
      </c>
      <c r="M108" s="6">
        <v>17.29</v>
      </c>
      <c r="N108" s="6">
        <v>56.03</v>
      </c>
      <c r="O108" s="6">
        <v>50.86</v>
      </c>
      <c r="P108" s="5">
        <v>457492775</v>
      </c>
    </row>
    <row r="109" spans="1:16">
      <c r="A109" t="s">
        <v>23</v>
      </c>
      <c r="B109">
        <v>2012</v>
      </c>
      <c r="C109">
        <v>183634</v>
      </c>
      <c r="D109">
        <v>16.3258137618459</v>
      </c>
      <c r="E109">
        <v>0.0181072188084595</v>
      </c>
      <c r="F109">
        <v>106655</v>
      </c>
      <c r="G109">
        <v>67.06334</v>
      </c>
      <c r="H109">
        <v>51768</v>
      </c>
      <c r="I109">
        <v>0.514578387043111</v>
      </c>
      <c r="J109">
        <v>0.0013409117265748</v>
      </c>
      <c r="K109">
        <v>523705</v>
      </c>
      <c r="L109" s="6">
        <v>192.12</v>
      </c>
      <c r="M109" s="6">
        <v>16.86</v>
      </c>
      <c r="N109" s="6">
        <v>56.27</v>
      </c>
      <c r="O109" s="6">
        <v>52.03</v>
      </c>
      <c r="P109" s="5">
        <v>502563744</v>
      </c>
    </row>
    <row r="110" spans="1:16">
      <c r="A110" t="s">
        <v>23</v>
      </c>
      <c r="B110">
        <v>2013</v>
      </c>
      <c r="C110">
        <v>181179</v>
      </c>
      <c r="D110">
        <v>16.3265955263698</v>
      </c>
      <c r="E110">
        <v>0.0190621685697276</v>
      </c>
      <c r="F110">
        <v>118137</v>
      </c>
      <c r="G110">
        <v>84.34935</v>
      </c>
      <c r="H110">
        <v>56885</v>
      </c>
      <c r="I110">
        <v>0.49651115546678</v>
      </c>
      <c r="J110">
        <v>0.00152722906548432</v>
      </c>
      <c r="K110">
        <v>546814</v>
      </c>
      <c r="L110" s="6">
        <v>184.57</v>
      </c>
      <c r="M110" s="6">
        <v>16.15</v>
      </c>
      <c r="N110" s="6">
        <v>56.53</v>
      </c>
      <c r="O110" s="6">
        <v>53.46</v>
      </c>
      <c r="P110" s="5">
        <v>554401210</v>
      </c>
    </row>
    <row r="111" spans="1:16">
      <c r="A111" t="s">
        <v>23</v>
      </c>
      <c r="B111">
        <v>2014</v>
      </c>
      <c r="C111">
        <v>180022</v>
      </c>
      <c r="D111">
        <v>16.1980016313214</v>
      </c>
      <c r="E111">
        <v>0.019781518677077</v>
      </c>
      <c r="F111">
        <v>128593</v>
      </c>
      <c r="G111">
        <v>141.6</v>
      </c>
      <c r="H111">
        <v>60879</v>
      </c>
      <c r="I111">
        <v>0.484431464097132</v>
      </c>
      <c r="J111">
        <v>0.00238277175251011</v>
      </c>
      <c r="K111">
        <v>548487</v>
      </c>
      <c r="L111" s="6">
        <v>178.04</v>
      </c>
      <c r="M111" s="6">
        <v>15.5</v>
      </c>
      <c r="N111" s="6">
        <v>57.42</v>
      </c>
      <c r="O111" s="6">
        <v>54.77</v>
      </c>
      <c r="P111" s="5">
        <v>597101232</v>
      </c>
    </row>
    <row r="112" spans="1:16">
      <c r="A112" t="s">
        <v>23</v>
      </c>
      <c r="B112">
        <v>2015</v>
      </c>
      <c r="C112">
        <v>186440</v>
      </c>
      <c r="D112">
        <v>16.1130143928644</v>
      </c>
      <c r="E112">
        <v>0.0205035545473682</v>
      </c>
      <c r="F112">
        <v>134218</v>
      </c>
      <c r="G112">
        <v>94.6</v>
      </c>
      <c r="H112">
        <v>64168.3001</v>
      </c>
      <c r="I112">
        <v>0.468012864815769</v>
      </c>
      <c r="J112">
        <v>0.00150153171035496</v>
      </c>
      <c r="K112">
        <v>563198</v>
      </c>
      <c r="L112" s="6">
        <v>175.76</v>
      </c>
      <c r="M112" s="6">
        <v>15.22</v>
      </c>
      <c r="N112" s="6">
        <v>67.67</v>
      </c>
      <c r="O112" s="6">
        <v>56.97</v>
      </c>
      <c r="P112" s="5">
        <v>633084448.7866</v>
      </c>
    </row>
    <row r="113" spans="1:16">
      <c r="A113" t="s">
        <v>23</v>
      </c>
      <c r="B113">
        <v>2016</v>
      </c>
      <c r="C113">
        <v>160579.789086</v>
      </c>
      <c r="D113">
        <v>15.9401383736087</v>
      </c>
      <c r="E113">
        <v>0.0208013840309571</v>
      </c>
      <c r="F113">
        <v>142856</v>
      </c>
      <c r="G113">
        <v>126.4</v>
      </c>
      <c r="H113">
        <v>68733</v>
      </c>
      <c r="I113">
        <v>0.460770378432826</v>
      </c>
      <c r="J113">
        <v>0.00185815432059836</v>
      </c>
      <c r="K113">
        <v>604800</v>
      </c>
      <c r="L113" s="6">
        <v>33.8</v>
      </c>
      <c r="M113" s="6">
        <v>2.88</v>
      </c>
      <c r="N113" s="6">
        <v>7.5</v>
      </c>
      <c r="O113" s="6">
        <v>59.13</v>
      </c>
      <c r="P113" s="5">
        <v>685474209</v>
      </c>
    </row>
    <row r="114" spans="1:16">
      <c r="A114" t="s">
        <v>23</v>
      </c>
      <c r="B114">
        <v>2017</v>
      </c>
      <c r="C114">
        <v>145686</v>
      </c>
      <c r="D114">
        <v>15.844812120004</v>
      </c>
      <c r="E114">
        <v>0.0215281450767922</v>
      </c>
      <c r="F114">
        <v>151571</v>
      </c>
      <c r="G114">
        <v>113.09948</v>
      </c>
      <c r="H114">
        <v>72807.13889</v>
      </c>
      <c r="I114">
        <v>0.453544831385567</v>
      </c>
      <c r="J114">
        <v>0.00155711165277885</v>
      </c>
      <c r="K114">
        <v>610377</v>
      </c>
      <c r="L114" s="6">
        <v>31.69</v>
      </c>
      <c r="M114" s="6">
        <v>2.56</v>
      </c>
      <c r="N114" s="6">
        <v>7.92</v>
      </c>
      <c r="O114" s="6">
        <v>60.79</v>
      </c>
      <c r="P114" s="5">
        <v>730474024.48337</v>
      </c>
    </row>
    <row r="115" spans="1:16">
      <c r="A115" t="s">
        <v>23</v>
      </c>
      <c r="B115">
        <v>2018</v>
      </c>
      <c r="C115">
        <v>135365.01</v>
      </c>
      <c r="D115">
        <v>15.7756276669644</v>
      </c>
      <c r="E115">
        <v>0.0185498059557469</v>
      </c>
      <c r="F115">
        <v>161512</v>
      </c>
      <c r="G115">
        <v>105.49948</v>
      </c>
      <c r="H115">
        <v>76267.2567</v>
      </c>
      <c r="I115">
        <v>0.43993546722511</v>
      </c>
      <c r="J115">
        <v>0.00137962515072969</v>
      </c>
      <c r="K115">
        <v>570857</v>
      </c>
      <c r="L115" s="6">
        <v>29.2</v>
      </c>
      <c r="M115" s="6">
        <v>2.48</v>
      </c>
      <c r="N115" s="6">
        <v>7.33</v>
      </c>
      <c r="O115" s="6">
        <v>61.46</v>
      </c>
      <c r="P115" s="5">
        <v>768545145.7659</v>
      </c>
    </row>
    <row r="116" spans="1:16">
      <c r="A116" t="s">
        <v>23</v>
      </c>
      <c r="B116">
        <v>2019</v>
      </c>
      <c r="C116">
        <v>123311.68</v>
      </c>
      <c r="D116">
        <v>15.7303582030477</v>
      </c>
      <c r="E116">
        <v>0.0170394064631204</v>
      </c>
      <c r="F116">
        <v>161064</v>
      </c>
      <c r="G116">
        <v>95.43478</v>
      </c>
      <c r="H116">
        <v>70652.62</v>
      </c>
      <c r="I116">
        <v>0.398366455116704</v>
      </c>
      <c r="J116">
        <v>0.00134287458703011</v>
      </c>
      <c r="K116">
        <v>561501</v>
      </c>
      <c r="L116" s="6">
        <v>27.57</v>
      </c>
      <c r="M116" s="6">
        <v>2.34</v>
      </c>
      <c r="N116" s="6">
        <v>6.94</v>
      </c>
      <c r="O116" s="6">
        <v>61.86</v>
      </c>
      <c r="P116" s="5">
        <v>714015377.72</v>
      </c>
    </row>
    <row r="117" spans="1:16">
      <c r="A117" t="s">
        <v>23</v>
      </c>
      <c r="B117">
        <v>2020</v>
      </c>
      <c r="C117">
        <v>133359</v>
      </c>
      <c r="D117">
        <v>15.6390555828824</v>
      </c>
      <c r="E117">
        <v>0.0186741064420408</v>
      </c>
      <c r="F117">
        <v>168881</v>
      </c>
      <c r="G117">
        <v>51.9487</v>
      </c>
      <c r="H117">
        <v>72151</v>
      </c>
      <c r="I117">
        <v>0.391256409905783</v>
      </c>
      <c r="J117">
        <v>0.000710370714764321</v>
      </c>
      <c r="K117">
        <v>580350</v>
      </c>
      <c r="L117" s="6">
        <v>153.48</v>
      </c>
      <c r="M117" s="6">
        <v>5.31</v>
      </c>
      <c r="N117" s="6">
        <v>17.07</v>
      </c>
      <c r="O117" s="6">
        <v>63.05</v>
      </c>
      <c r="P117" s="5">
        <v>733414915</v>
      </c>
    </row>
    <row r="118" spans="1:16">
      <c r="A118" t="s">
        <v>23</v>
      </c>
      <c r="B118">
        <v>2021</v>
      </c>
      <c r="C118">
        <v>133854</v>
      </c>
      <c r="D118">
        <v>15.6313667649951</v>
      </c>
      <c r="E118">
        <v>0.0188377544499789</v>
      </c>
      <c r="F118">
        <v>178158</v>
      </c>
      <c r="G118">
        <v>37.6918</v>
      </c>
      <c r="H118">
        <v>81727</v>
      </c>
      <c r="I118">
        <v>0.39938432582113</v>
      </c>
      <c r="J118">
        <v>0.000453593979967724</v>
      </c>
      <c r="K118">
        <v>608376</v>
      </c>
      <c r="L118" s="6">
        <v>156.28</v>
      </c>
      <c r="M118" s="6">
        <v>4.64</v>
      </c>
      <c r="N118" s="6">
        <v>16.38</v>
      </c>
      <c r="O118" s="6">
        <v>63.94</v>
      </c>
      <c r="P118" s="5">
        <v>831163590</v>
      </c>
    </row>
    <row r="119" spans="1:16">
      <c r="A119" t="s">
        <v>23</v>
      </c>
      <c r="B119">
        <v>2022</v>
      </c>
      <c r="C119">
        <v>131142</v>
      </c>
      <c r="D119">
        <v>15.6421332283774</v>
      </c>
      <c r="E119">
        <v>0.0197712642863106</v>
      </c>
      <c r="F119">
        <v>189036</v>
      </c>
      <c r="G119">
        <v>29.19171</v>
      </c>
      <c r="H119">
        <v>86003</v>
      </c>
      <c r="I119">
        <v>0.400459312106923</v>
      </c>
      <c r="J119">
        <v>0.000333867176911789</v>
      </c>
      <c r="K119">
        <v>617464</v>
      </c>
      <c r="L119" s="6">
        <v>151.1</v>
      </c>
      <c r="M119" s="6">
        <v>4.62</v>
      </c>
      <c r="N119" s="6">
        <v>16.29</v>
      </c>
      <c r="O119" s="6">
        <v>64.54</v>
      </c>
      <c r="P119" s="5">
        <v>874048489</v>
      </c>
    </row>
    <row r="120" spans="1:16">
      <c r="A120" t="s">
        <v>23</v>
      </c>
      <c r="B120">
        <v>2023</v>
      </c>
      <c r="C120">
        <v>127210.109268193</v>
      </c>
      <c r="D120">
        <v>15.7039415193125</v>
      </c>
      <c r="E120">
        <v>0.0203037515463996</v>
      </c>
      <c r="F120">
        <v>197399</v>
      </c>
      <c r="G120">
        <v>28.15484</v>
      </c>
      <c r="H120">
        <v>90771</v>
      </c>
      <c r="I120">
        <v>0.390880939993722</v>
      </c>
      <c r="J120">
        <v>0.000305802514861185</v>
      </c>
      <c r="K120">
        <v>646026</v>
      </c>
      <c r="L120" s="6">
        <v>174.56</v>
      </c>
      <c r="M120" s="6">
        <v>6.91</v>
      </c>
      <c r="N120" s="6">
        <v>17.77</v>
      </c>
      <c r="O120" s="6">
        <v>65.53</v>
      </c>
      <c r="P120" s="5">
        <v>918874833</v>
      </c>
    </row>
    <row r="121" spans="1:16">
      <c r="A121" t="s">
        <v>23</v>
      </c>
      <c r="B121">
        <v>2024</v>
      </c>
      <c r="C121">
        <v>123278.22</v>
      </c>
      <c r="D121">
        <v>15.7233134920635</v>
      </c>
      <c r="E121">
        <v>0.0203633438778968</v>
      </c>
      <c r="G121">
        <v>32.63978</v>
      </c>
      <c r="H121">
        <v>97575</v>
      </c>
      <c r="I121">
        <v>0.401849322990327</v>
      </c>
      <c r="J121">
        <v>0.000331147111878562</v>
      </c>
      <c r="L121" s="6">
        <v>154.22</v>
      </c>
      <c r="M121" s="6">
        <v>5.53</v>
      </c>
      <c r="N121" s="6">
        <v>15.55</v>
      </c>
      <c r="O121" s="6">
        <v>66.48</v>
      </c>
      <c r="P121" s="5">
        <v>983556000</v>
      </c>
    </row>
    <row r="122" spans="1:16">
      <c r="A122" t="s">
        <v>24</v>
      </c>
      <c r="B122">
        <v>2010</v>
      </c>
      <c r="C122">
        <v>187031</v>
      </c>
      <c r="D122">
        <v>17.2562972895317</v>
      </c>
      <c r="E122">
        <v>0.0159423583941892</v>
      </c>
      <c r="F122">
        <v>105299</v>
      </c>
      <c r="G122">
        <v>31.0584</v>
      </c>
      <c r="H122">
        <v>44736</v>
      </c>
      <c r="I122">
        <v>0.500173863681311</v>
      </c>
      <c r="J122">
        <v>0.000674990969955052</v>
      </c>
      <c r="K122">
        <v>199258</v>
      </c>
      <c r="L122" s="6">
        <v>85.8</v>
      </c>
      <c r="M122" s="6">
        <v>10.7</v>
      </c>
      <c r="N122" s="6">
        <v>10.04</v>
      </c>
      <c r="O122" s="6">
        <v>66.2</v>
      </c>
      <c r="P122" s="5">
        <v>467088576</v>
      </c>
    </row>
    <row r="123" spans="1:16">
      <c r="A123" t="s">
        <v>24</v>
      </c>
      <c r="B123">
        <v>2011</v>
      </c>
      <c r="C123">
        <v>178626</v>
      </c>
      <c r="D123">
        <v>16.7509297136482</v>
      </c>
      <c r="E123">
        <v>0.0169035237175974</v>
      </c>
      <c r="F123">
        <v>114455</v>
      </c>
      <c r="G123">
        <v>16.64198</v>
      </c>
      <c r="H123">
        <v>50807</v>
      </c>
      <c r="I123">
        <v>0.49703515937146</v>
      </c>
      <c r="J123">
        <v>0.000312758737597321</v>
      </c>
      <c r="K123">
        <v>203410</v>
      </c>
      <c r="L123" s="6">
        <v>188.45</v>
      </c>
      <c r="M123" s="6">
        <v>23.09</v>
      </c>
      <c r="N123" s="6">
        <v>12.54</v>
      </c>
      <c r="O123" s="6">
        <v>66.57</v>
      </c>
      <c r="P123" s="5">
        <v>546480092</v>
      </c>
    </row>
    <row r="124" spans="1:16">
      <c r="A124" t="s">
        <v>24</v>
      </c>
      <c r="B124">
        <v>2012</v>
      </c>
      <c r="C124">
        <v>186126</v>
      </c>
      <c r="D124">
        <v>16.31853998732</v>
      </c>
      <c r="E124">
        <v>0.0188873784080443</v>
      </c>
      <c r="F124">
        <v>121265</v>
      </c>
      <c r="G124">
        <v>28.09959</v>
      </c>
      <c r="H124">
        <v>54095</v>
      </c>
      <c r="I124">
        <v>0.48540353319343</v>
      </c>
      <c r="J124">
        <v>0.00049238854333573</v>
      </c>
      <c r="K124">
        <v>201834</v>
      </c>
      <c r="L124" s="6">
        <v>180.29</v>
      </c>
      <c r="M124" s="6">
        <v>22.41</v>
      </c>
      <c r="N124" s="6">
        <v>19.46</v>
      </c>
      <c r="O124" s="6">
        <v>67.15</v>
      </c>
      <c r="P124" s="5">
        <v>597262895</v>
      </c>
    </row>
    <row r="125" spans="1:16">
      <c r="A125" t="s">
        <v>24</v>
      </c>
      <c r="B125">
        <v>2013</v>
      </c>
      <c r="C125">
        <v>170463</v>
      </c>
      <c r="D125">
        <v>15.9366459627329</v>
      </c>
      <c r="E125">
        <v>0.019807655535937</v>
      </c>
      <c r="F125">
        <v>130831</v>
      </c>
      <c r="G125">
        <v>32.46344</v>
      </c>
      <c r="H125">
        <v>58833</v>
      </c>
      <c r="I125">
        <v>0.471029834594082</v>
      </c>
      <c r="J125">
        <v>0.000519624635793094</v>
      </c>
      <c r="K125">
        <v>197198</v>
      </c>
      <c r="L125" s="6">
        <v>173.39</v>
      </c>
      <c r="M125" s="6">
        <v>21.64</v>
      </c>
      <c r="N125" s="6">
        <v>19.37</v>
      </c>
      <c r="O125" s="6">
        <v>68.09</v>
      </c>
      <c r="P125" s="5">
        <v>663047910</v>
      </c>
    </row>
    <row r="126" spans="1:16">
      <c r="A126" t="s">
        <v>24</v>
      </c>
      <c r="B126">
        <v>2014</v>
      </c>
      <c r="C126">
        <v>177554</v>
      </c>
      <c r="D126">
        <v>15.6366959700583</v>
      </c>
      <c r="E126">
        <v>0.0202815210474584</v>
      </c>
      <c r="F126">
        <v>137631</v>
      </c>
      <c r="G126">
        <v>37.9</v>
      </c>
      <c r="H126">
        <v>63469</v>
      </c>
      <c r="I126">
        <v>0.463350825875592</v>
      </c>
      <c r="J126">
        <v>0.000558915850720802</v>
      </c>
      <c r="K126">
        <v>193691</v>
      </c>
      <c r="L126" s="6">
        <v>167.06</v>
      </c>
      <c r="M126" s="6">
        <v>20.82</v>
      </c>
      <c r="N126" s="6">
        <v>18.82</v>
      </c>
      <c r="O126" s="6">
        <v>68.62</v>
      </c>
      <c r="P126" s="5">
        <v>729195341</v>
      </c>
    </row>
    <row r="127" spans="1:16">
      <c r="A127" t="s">
        <v>24</v>
      </c>
      <c r="B127">
        <v>2015</v>
      </c>
      <c r="C127">
        <v>161455</v>
      </c>
      <c r="D127">
        <v>15.3921048124679</v>
      </c>
      <c r="E127">
        <v>0.0208830722176328</v>
      </c>
      <c r="F127">
        <v>142059</v>
      </c>
      <c r="G127">
        <v>34.7</v>
      </c>
      <c r="H127">
        <v>67503</v>
      </c>
      <c r="I127">
        <v>0.447910971391608</v>
      </c>
      <c r="J127">
        <v>0.000476566196349393</v>
      </c>
      <c r="K127">
        <v>194861</v>
      </c>
      <c r="L127" s="6">
        <v>160.69</v>
      </c>
      <c r="M127" s="6">
        <v>19.97</v>
      </c>
      <c r="N127" s="6">
        <v>18.73</v>
      </c>
      <c r="O127" s="6">
        <v>69.51</v>
      </c>
      <c r="P127" s="5">
        <v>788300034</v>
      </c>
    </row>
    <row r="128" spans="1:16">
      <c r="A128" t="s">
        <v>24</v>
      </c>
      <c r="B128">
        <v>2016</v>
      </c>
      <c r="C128">
        <v>134000</v>
      </c>
      <c r="D128">
        <v>15.0948102116224</v>
      </c>
      <c r="E128">
        <v>0.0207318875254453</v>
      </c>
      <c r="F128">
        <v>149026</v>
      </c>
      <c r="G128">
        <v>26.5</v>
      </c>
      <c r="H128">
        <v>74016</v>
      </c>
      <c r="I128">
        <v>0.434230401097472</v>
      </c>
      <c r="J128">
        <v>0.000327747566597996</v>
      </c>
      <c r="K128">
        <v>166200</v>
      </c>
      <c r="L128" s="6">
        <v>65.03</v>
      </c>
      <c r="M128" s="6">
        <v>5.24</v>
      </c>
      <c r="N128" s="6">
        <v>12.47</v>
      </c>
      <c r="O128" s="6">
        <v>70.15</v>
      </c>
      <c r="P128" s="5">
        <v>881382528</v>
      </c>
    </row>
    <row r="129" spans="1:16">
      <c r="A129" t="s">
        <v>24</v>
      </c>
      <c r="B129">
        <v>2017</v>
      </c>
      <c r="C129">
        <v>134000</v>
      </c>
      <c r="D129">
        <v>14.8051231364797</v>
      </c>
      <c r="E129">
        <v>0.0207906640448946</v>
      </c>
      <c r="F129">
        <v>164408</v>
      </c>
      <c r="G129">
        <v>42.02724</v>
      </c>
      <c r="H129">
        <v>80932</v>
      </c>
      <c r="I129">
        <v>0.423699487755619</v>
      </c>
      <c r="J129">
        <v>0.000468503787348854</v>
      </c>
      <c r="K129">
        <v>161690</v>
      </c>
      <c r="L129" s="6">
        <v>67.48</v>
      </c>
      <c r="M129" s="6">
        <v>5.11</v>
      </c>
      <c r="N129" s="6">
        <v>13.21</v>
      </c>
      <c r="O129" s="6">
        <v>70.74</v>
      </c>
      <c r="P129" s="5">
        <v>982595412</v>
      </c>
    </row>
    <row r="130" spans="1:16">
      <c r="A130" t="s">
        <v>24</v>
      </c>
      <c r="B130">
        <v>2018</v>
      </c>
      <c r="C130">
        <v>122500</v>
      </c>
      <c r="D130">
        <v>14.5569322967282</v>
      </c>
      <c r="E130">
        <v>0.0216617130511935</v>
      </c>
      <c r="F130">
        <v>175007</v>
      </c>
      <c r="G130">
        <v>36.32724</v>
      </c>
      <c r="H130">
        <v>86412</v>
      </c>
      <c r="I130">
        <v>0.418339667942635</v>
      </c>
      <c r="J130">
        <v>0.000373438248019049</v>
      </c>
      <c r="K130">
        <v>165614</v>
      </c>
      <c r="L130" s="6">
        <v>64.43</v>
      </c>
      <c r="M130" s="6">
        <v>4.94</v>
      </c>
      <c r="N130" s="6">
        <v>13.16</v>
      </c>
      <c r="O130" s="6">
        <v>71.81</v>
      </c>
      <c r="P130" s="5">
        <v>1067015376</v>
      </c>
    </row>
    <row r="131" spans="1:16">
      <c r="A131" t="s">
        <v>24</v>
      </c>
      <c r="B131">
        <v>2019</v>
      </c>
      <c r="C131">
        <v>122500.21</v>
      </c>
      <c r="D131">
        <v>14.3925854752182</v>
      </c>
      <c r="E131">
        <v>0.0214993363584109</v>
      </c>
      <c r="F131">
        <v>167871</v>
      </c>
      <c r="G131">
        <v>31.70156</v>
      </c>
      <c r="H131">
        <v>94172</v>
      </c>
      <c r="I131">
        <v>0.404439465494306</v>
      </c>
      <c r="J131">
        <v>0.000294429692209802</v>
      </c>
      <c r="K131">
        <v>164990</v>
      </c>
      <c r="L131" s="6">
        <v>63.48</v>
      </c>
      <c r="M131" s="6">
        <v>4.48</v>
      </c>
      <c r="N131" s="6">
        <v>13.18</v>
      </c>
      <c r="O131" s="6">
        <v>72.65</v>
      </c>
      <c r="P131" s="5">
        <v>1176114108</v>
      </c>
    </row>
    <row r="132" spans="1:16">
      <c r="A132" t="s">
        <v>24</v>
      </c>
      <c r="B132">
        <v>2020</v>
      </c>
      <c r="C132">
        <v>117080.6</v>
      </c>
      <c r="D132">
        <v>14.2386723700887</v>
      </c>
      <c r="E132">
        <v>0.0225707065144084</v>
      </c>
      <c r="F132">
        <v>175788</v>
      </c>
      <c r="G132">
        <v>23.547</v>
      </c>
      <c r="H132">
        <v>88210</v>
      </c>
      <c r="I132">
        <v>0.392287840821864</v>
      </c>
      <c r="J132">
        <v>0.000212592995328498</v>
      </c>
      <c r="K132">
        <v>164719</v>
      </c>
      <c r="L132" s="6">
        <v>161.31</v>
      </c>
      <c r="M132" s="6">
        <v>9.64</v>
      </c>
      <c r="N132" s="6">
        <v>29.11</v>
      </c>
      <c r="O132" s="6">
        <v>74.15</v>
      </c>
      <c r="P132" s="5">
        <v>1113563040</v>
      </c>
    </row>
    <row r="133" spans="1:16">
      <c r="A133" t="s">
        <v>24</v>
      </c>
      <c r="B133">
        <v>2021</v>
      </c>
      <c r="C133">
        <v>105894.54</v>
      </c>
      <c r="D133">
        <v>14.1713181961526</v>
      </c>
      <c r="E133">
        <v>0.0233351446534003</v>
      </c>
      <c r="F133">
        <v>181604</v>
      </c>
      <c r="G133">
        <v>38.06075</v>
      </c>
      <c r="H133">
        <v>98285</v>
      </c>
      <c r="I133">
        <v>0.403789669027102</v>
      </c>
      <c r="J133">
        <v>0.000306029121240945</v>
      </c>
      <c r="K133">
        <v>166805</v>
      </c>
      <c r="L133" s="6">
        <v>158.08</v>
      </c>
      <c r="M133" s="6">
        <v>7.72</v>
      </c>
      <c r="N133" s="6">
        <v>28.82</v>
      </c>
      <c r="O133" s="6">
        <v>74.63</v>
      </c>
      <c r="P133" s="5">
        <v>1246646940</v>
      </c>
    </row>
    <row r="134" spans="1:16">
      <c r="A134" t="s">
        <v>24</v>
      </c>
      <c r="B134">
        <v>2022</v>
      </c>
      <c r="C134">
        <v>101116.528529564</v>
      </c>
      <c r="D134">
        <v>14.2015485502094</v>
      </c>
      <c r="E134">
        <v>0.0249209237863484</v>
      </c>
      <c r="F134">
        <v>175517</v>
      </c>
      <c r="G134">
        <v>15.88685</v>
      </c>
      <c r="H134">
        <v>101905</v>
      </c>
      <c r="I134">
        <v>0.409263266485231</v>
      </c>
      <c r="J134">
        <v>0.00012304075477894</v>
      </c>
      <c r="K134">
        <v>166596</v>
      </c>
      <c r="L134" s="6">
        <v>161.85</v>
      </c>
      <c r="M134" s="6">
        <v>7.51</v>
      </c>
      <c r="N134" s="6">
        <v>29.5</v>
      </c>
      <c r="O134" s="6">
        <v>74.79</v>
      </c>
      <c r="P134" s="5">
        <v>1289811585</v>
      </c>
    </row>
    <row r="135" spans="1:16">
      <c r="A135" t="s">
        <v>24</v>
      </c>
      <c r="B135">
        <v>2023</v>
      </c>
      <c r="C135">
        <v>96226.0897322469</v>
      </c>
      <c r="D135">
        <v>14.1467810483236</v>
      </c>
      <c r="E135">
        <v>0.0252565478664909</v>
      </c>
      <c r="F135">
        <v>188392</v>
      </c>
      <c r="G135">
        <v>21.73255</v>
      </c>
      <c r="H135">
        <v>106985</v>
      </c>
      <c r="I135">
        <v>0.401238417019721</v>
      </c>
      <c r="J135">
        <v>0.000160183072264825</v>
      </c>
      <c r="K135">
        <v>172133</v>
      </c>
      <c r="L135" s="6">
        <v>188.07</v>
      </c>
      <c r="M135" s="6">
        <v>11.63</v>
      </c>
      <c r="N135" s="6">
        <v>30.46</v>
      </c>
      <c r="O135" s="6">
        <v>75.42</v>
      </c>
      <c r="P135" s="5">
        <v>1359351410</v>
      </c>
    </row>
    <row r="136" spans="1:16">
      <c r="A136" t="s">
        <v>24</v>
      </c>
      <c r="B136">
        <v>2024</v>
      </c>
      <c r="C136">
        <v>91335.641</v>
      </c>
      <c r="D136">
        <v>14.0980438184664</v>
      </c>
      <c r="E136">
        <v>0.0261609356664864</v>
      </c>
      <c r="G136">
        <v>30.50895</v>
      </c>
      <c r="H136">
        <v>111146</v>
      </c>
      <c r="I136">
        <v>0.383845522749513</v>
      </c>
      <c r="J136">
        <v>0.000215407268603963</v>
      </c>
      <c r="L136" s="6">
        <v>170.65</v>
      </c>
      <c r="M136" s="6">
        <v>9.79</v>
      </c>
      <c r="N136" s="6">
        <v>28.04</v>
      </c>
      <c r="O136" s="6">
        <v>75.91</v>
      </c>
      <c r="P136" s="5">
        <v>1420445880</v>
      </c>
    </row>
    <row r="137" spans="1:16">
      <c r="A137" t="s">
        <v>25</v>
      </c>
      <c r="B137">
        <v>2010</v>
      </c>
      <c r="C137">
        <v>165211</v>
      </c>
      <c r="D137">
        <v>51.3744034707158</v>
      </c>
      <c r="E137">
        <v>0.00492959485606706</v>
      </c>
      <c r="F137">
        <v>11923</v>
      </c>
      <c r="G137">
        <v>9.28451</v>
      </c>
      <c r="H137">
        <v>20219</v>
      </c>
      <c r="I137">
        <v>0.471447305861638</v>
      </c>
      <c r="J137">
        <v>0.000970183440701787</v>
      </c>
      <c r="K137">
        <v>51287</v>
      </c>
      <c r="L137" s="6">
        <v>93.7</v>
      </c>
      <c r="M137" s="6">
        <v>4.74</v>
      </c>
      <c r="N137" s="6">
        <v>11.5</v>
      </c>
      <c r="O137" s="6">
        <v>40.11</v>
      </c>
      <c r="P137" s="5">
        <v>93209590</v>
      </c>
    </row>
    <row r="138" spans="1:16">
      <c r="A138" t="s">
        <v>25</v>
      </c>
      <c r="B138">
        <v>2011</v>
      </c>
      <c r="C138">
        <v>101234</v>
      </c>
      <c r="D138">
        <v>50.8777658431794</v>
      </c>
      <c r="E138">
        <v>0.00500638007246902</v>
      </c>
      <c r="F138">
        <v>15331</v>
      </c>
      <c r="G138">
        <v>8.62298</v>
      </c>
      <c r="H138">
        <v>25326</v>
      </c>
      <c r="I138">
        <v>0.48420637717166</v>
      </c>
      <c r="J138">
        <v>0.000735694534620724</v>
      </c>
      <c r="K138">
        <v>52212</v>
      </c>
      <c r="L138" s="6">
        <v>79.33</v>
      </c>
      <c r="M138" s="6">
        <v>8.39</v>
      </c>
      <c r="N138" s="6">
        <v>11.56</v>
      </c>
      <c r="O138" s="6">
        <v>41.9</v>
      </c>
      <c r="P138" s="5">
        <v>117892530</v>
      </c>
    </row>
    <row r="139" spans="1:16">
      <c r="A139" t="s">
        <v>25</v>
      </c>
      <c r="B139">
        <v>2012</v>
      </c>
      <c r="C139">
        <v>110671</v>
      </c>
      <c r="D139">
        <v>50.4550489987218</v>
      </c>
      <c r="E139">
        <v>0.00538718613589462</v>
      </c>
      <c r="F139">
        <v>17438</v>
      </c>
      <c r="G139">
        <v>8.56438</v>
      </c>
      <c r="H139">
        <v>27952</v>
      </c>
      <c r="I139">
        <v>0.479277563655054</v>
      </c>
      <c r="J139">
        <v>0.000657024495400879</v>
      </c>
      <c r="K139">
        <v>53249</v>
      </c>
      <c r="L139" s="6">
        <v>78.03</v>
      </c>
      <c r="M139" s="6">
        <v>8.26</v>
      </c>
      <c r="N139" s="6">
        <v>11.59</v>
      </c>
      <c r="O139" s="6">
        <v>43.48</v>
      </c>
      <c r="P139" s="5">
        <v>131206688</v>
      </c>
    </row>
    <row r="140" spans="1:16">
      <c r="A140" t="s">
        <v>25</v>
      </c>
      <c r="B140">
        <v>2013</v>
      </c>
      <c r="C140">
        <v>89508</v>
      </c>
      <c r="D140">
        <v>50.434369055168</v>
      </c>
      <c r="E140">
        <v>0.0056544536640392</v>
      </c>
      <c r="F140">
        <v>18674</v>
      </c>
      <c r="G140">
        <v>18.32182</v>
      </c>
      <c r="H140">
        <v>30741</v>
      </c>
      <c r="I140">
        <v>0.474954151931847</v>
      </c>
      <c r="J140">
        <v>0.00126795479553492</v>
      </c>
      <c r="K140">
        <v>54001</v>
      </c>
      <c r="L140" s="6">
        <v>75.94</v>
      </c>
      <c r="M140" s="6">
        <v>8.1</v>
      </c>
      <c r="N140" s="6">
        <v>11.69</v>
      </c>
      <c r="O140" s="6">
        <v>45.11</v>
      </c>
      <c r="P140" s="5">
        <v>145435671</v>
      </c>
    </row>
    <row r="141" spans="1:16">
      <c r="A141" t="s">
        <v>25</v>
      </c>
      <c r="B141">
        <v>2014</v>
      </c>
      <c r="C141">
        <v>72936</v>
      </c>
      <c r="D141">
        <v>50.022641509434</v>
      </c>
      <c r="E141">
        <v>0.00541577207522033</v>
      </c>
      <c r="F141">
        <v>20189</v>
      </c>
      <c r="G141">
        <v>17.9</v>
      </c>
      <c r="H141">
        <v>33090</v>
      </c>
      <c r="I141">
        <v>0.467364985015527</v>
      </c>
      <c r="J141">
        <v>0.00114209951068373</v>
      </c>
      <c r="K141">
        <v>54233</v>
      </c>
      <c r="L141" s="6">
        <v>74.4</v>
      </c>
      <c r="M141" s="6">
        <v>7.93</v>
      </c>
      <c r="N141" s="6">
        <v>11.43</v>
      </c>
      <c r="O141" s="6">
        <v>46.54</v>
      </c>
      <c r="P141" s="5">
        <v>157839300</v>
      </c>
    </row>
    <row r="142" spans="1:16">
      <c r="A142" t="s">
        <v>25</v>
      </c>
      <c r="B142">
        <v>2015</v>
      </c>
      <c r="C142">
        <v>63253</v>
      </c>
      <c r="D142">
        <v>49.5896902930784</v>
      </c>
      <c r="E142">
        <v>0.00457765998219378</v>
      </c>
      <c r="F142">
        <v>20482</v>
      </c>
      <c r="G142">
        <v>24.7</v>
      </c>
      <c r="H142">
        <v>35190</v>
      </c>
      <c r="I142">
        <v>0.459290893595951</v>
      </c>
      <c r="J142">
        <v>0.0014699651017192</v>
      </c>
      <c r="K142">
        <v>55015</v>
      </c>
      <c r="L142" s="6">
        <v>71.12</v>
      </c>
      <c r="M142" s="6">
        <v>7.67</v>
      </c>
      <c r="N142" s="6">
        <v>11.42</v>
      </c>
      <c r="O142" s="6">
        <v>47.99</v>
      </c>
      <c r="P142" s="5">
        <v>169299090</v>
      </c>
    </row>
    <row r="143" spans="1:16">
      <c r="A143" t="s">
        <v>25</v>
      </c>
      <c r="B143">
        <v>2016</v>
      </c>
      <c r="C143">
        <v>32554</v>
      </c>
      <c r="D143">
        <v>49.1200329421454</v>
      </c>
      <c r="E143">
        <v>0.00451612762342747</v>
      </c>
      <c r="F143">
        <v>20392</v>
      </c>
      <c r="G143">
        <v>13</v>
      </c>
      <c r="H143">
        <v>38027</v>
      </c>
      <c r="I143">
        <v>0.451677181121586</v>
      </c>
      <c r="J143">
        <v>0.000709698410930666</v>
      </c>
      <c r="K143">
        <v>45400</v>
      </c>
      <c r="L143" s="6">
        <v>30.55</v>
      </c>
      <c r="M143" s="6">
        <v>2.26</v>
      </c>
      <c r="N143" s="6">
        <v>4.24</v>
      </c>
      <c r="O143" s="6">
        <v>49.24</v>
      </c>
      <c r="P143" s="5">
        <v>184697139</v>
      </c>
    </row>
    <row r="144" spans="1:16">
      <c r="A144" t="s">
        <v>25</v>
      </c>
      <c r="B144">
        <v>2017</v>
      </c>
      <c r="C144">
        <v>35949.79307</v>
      </c>
      <c r="D144">
        <v>48.6195231302221</v>
      </c>
      <c r="E144">
        <v>0.00505308460821691</v>
      </c>
      <c r="F144">
        <v>21862</v>
      </c>
      <c r="G144">
        <v>7.58473</v>
      </c>
      <c r="H144">
        <v>38102</v>
      </c>
      <c r="I144">
        <v>0.402242909725394</v>
      </c>
      <c r="J144">
        <v>0.000409470579152914</v>
      </c>
      <c r="K144">
        <v>47022</v>
      </c>
      <c r="L144" s="6">
        <v>32.64</v>
      </c>
      <c r="M144" s="6">
        <v>2.29</v>
      </c>
      <c r="N144" s="6">
        <v>4.29</v>
      </c>
      <c r="O144" s="6">
        <v>50.59</v>
      </c>
      <c r="P144" s="5">
        <v>186966514</v>
      </c>
    </row>
    <row r="145" spans="1:16">
      <c r="A145" t="s">
        <v>25</v>
      </c>
      <c r="B145">
        <v>2018</v>
      </c>
      <c r="C145">
        <v>34255</v>
      </c>
      <c r="D145">
        <v>48.2263998382858</v>
      </c>
      <c r="E145">
        <v>0.00437799121582547</v>
      </c>
      <c r="F145">
        <v>23986</v>
      </c>
      <c r="G145">
        <v>8.389056</v>
      </c>
      <c r="H145">
        <v>41489.16522</v>
      </c>
      <c r="I145">
        <v>0.396655744180939</v>
      </c>
      <c r="J145">
        <v>0.000412187784209417</v>
      </c>
      <c r="K145">
        <v>47844</v>
      </c>
      <c r="L145" s="6">
        <v>32.17</v>
      </c>
      <c r="M145" s="6">
        <v>2.44</v>
      </c>
      <c r="N145" s="6">
        <v>4.7</v>
      </c>
      <c r="O145" s="6">
        <v>51.82</v>
      </c>
      <c r="P145" s="5">
        <v>205246900.34334</v>
      </c>
    </row>
    <row r="146" spans="1:16">
      <c r="A146" t="s">
        <v>25</v>
      </c>
      <c r="B146">
        <v>2019</v>
      </c>
      <c r="C146">
        <v>34344.29</v>
      </c>
      <c r="D146">
        <v>47.8875953432356</v>
      </c>
      <c r="E146">
        <v>0.00491941099413575</v>
      </c>
      <c r="F146">
        <v>25568</v>
      </c>
      <c r="G146">
        <v>4.86202</v>
      </c>
      <c r="H146">
        <v>42964</v>
      </c>
      <c r="I146">
        <v>0.333257208833204</v>
      </c>
      <c r="J146">
        <v>0.000228939489968988</v>
      </c>
      <c r="K146">
        <v>49822</v>
      </c>
      <c r="L146" s="6">
        <v>32.73</v>
      </c>
      <c r="M146" s="6">
        <v>2.47</v>
      </c>
      <c r="N146" s="6">
        <v>4.7</v>
      </c>
      <c r="O146" s="6">
        <v>52.98</v>
      </c>
      <c r="P146" s="5">
        <v>214046648</v>
      </c>
    </row>
    <row r="147" spans="1:16">
      <c r="A147" t="s">
        <v>25</v>
      </c>
      <c r="B147">
        <v>2020</v>
      </c>
      <c r="C147">
        <v>30559</v>
      </c>
      <c r="D147">
        <v>47.5345686391711</v>
      </c>
      <c r="E147">
        <v>0.00511507765826033</v>
      </c>
      <c r="F147">
        <v>29567</v>
      </c>
      <c r="G147">
        <v>3.5534</v>
      </c>
      <c r="H147">
        <v>44309</v>
      </c>
      <c r="I147">
        <v>0.3208281561912</v>
      </c>
      <c r="J147">
        <v>0.000160375940630121</v>
      </c>
      <c r="K147">
        <v>52277</v>
      </c>
      <c r="L147" s="6">
        <v>103.04</v>
      </c>
      <c r="M147" s="6">
        <v>7.25</v>
      </c>
      <c r="N147" s="6">
        <v>22.92</v>
      </c>
      <c r="O147" s="6">
        <v>54.2</v>
      </c>
      <c r="P147" s="5">
        <v>222386871</v>
      </c>
    </row>
    <row r="148" spans="1:16">
      <c r="A148" t="s">
        <v>25</v>
      </c>
      <c r="B148">
        <v>2021</v>
      </c>
      <c r="C148">
        <v>30588</v>
      </c>
      <c r="D148">
        <v>47.3647012110383</v>
      </c>
      <c r="E148">
        <v>0.0055383534956287</v>
      </c>
      <c r="F148">
        <v>35822</v>
      </c>
      <c r="G148">
        <v>11.95999</v>
      </c>
      <c r="H148">
        <v>49206</v>
      </c>
      <c r="I148">
        <v>0.33094592355169</v>
      </c>
      <c r="J148">
        <v>0.000483409657692323</v>
      </c>
      <c r="K148">
        <v>64255</v>
      </c>
      <c r="L148" s="6">
        <v>95.82</v>
      </c>
      <c r="M148" s="6">
        <v>5.32</v>
      </c>
      <c r="N148" s="6">
        <v>19.43</v>
      </c>
      <c r="O148" s="6">
        <v>55.08</v>
      </c>
      <c r="P148" s="5">
        <v>247850622</v>
      </c>
    </row>
    <row r="149" spans="1:16">
      <c r="A149" t="s">
        <v>25</v>
      </c>
      <c r="B149">
        <v>2022</v>
      </c>
      <c r="C149">
        <v>38521</v>
      </c>
      <c r="D149">
        <v>47.270853972657</v>
      </c>
      <c r="E149">
        <v>0.00572503450452266</v>
      </c>
      <c r="F149">
        <v>37134</v>
      </c>
      <c r="G149">
        <v>2.28411</v>
      </c>
      <c r="H149">
        <v>52164</v>
      </c>
      <c r="I149">
        <v>0.339859092274409</v>
      </c>
      <c r="J149">
        <v>8.68453170804041e-5</v>
      </c>
      <c r="K149">
        <v>67393</v>
      </c>
      <c r="L149" s="6">
        <v>93.44</v>
      </c>
      <c r="M149" s="6">
        <v>4.78</v>
      </c>
      <c r="N149" s="6">
        <v>19.43</v>
      </c>
      <c r="O149" s="6">
        <v>55.65</v>
      </c>
      <c r="P149" s="5">
        <v>263271708</v>
      </c>
    </row>
    <row r="150" spans="1:16">
      <c r="A150" t="s">
        <v>25</v>
      </c>
      <c r="B150">
        <v>2023</v>
      </c>
      <c r="C150">
        <v>36099.8215656804</v>
      </c>
      <c r="D150">
        <v>47.4589218221603</v>
      </c>
      <c r="E150">
        <v>0.00570499661794548</v>
      </c>
      <c r="F150">
        <v>44003</v>
      </c>
      <c r="G150">
        <v>7.05885</v>
      </c>
      <c r="H150">
        <v>54005</v>
      </c>
      <c r="I150">
        <v>0.328062965032497</v>
      </c>
      <c r="J150">
        <v>0.000259493647619328</v>
      </c>
      <c r="K150">
        <v>69075</v>
      </c>
      <c r="L150" s="6">
        <v>103.53</v>
      </c>
      <c r="M150" s="6">
        <v>6.19</v>
      </c>
      <c r="N150" s="6">
        <v>20.7</v>
      </c>
      <c r="O150" s="6">
        <v>56.78</v>
      </c>
      <c r="P150" s="5">
        <v>271483135</v>
      </c>
    </row>
    <row r="151" spans="1:16">
      <c r="A151" t="s">
        <v>25</v>
      </c>
      <c r="B151">
        <v>2024</v>
      </c>
      <c r="C151">
        <v>33678.641</v>
      </c>
      <c r="D151">
        <v>47.244364651905</v>
      </c>
      <c r="E151">
        <v>0.00587221617206643</v>
      </c>
      <c r="G151">
        <v>8.30973</v>
      </c>
      <c r="H151">
        <v>57071</v>
      </c>
      <c r="I151">
        <v>0.324649032789517</v>
      </c>
      <c r="J151">
        <v>0.000290049006261911</v>
      </c>
      <c r="L151" s="6">
        <v>100.59</v>
      </c>
      <c r="M151" s="6">
        <v>5.93</v>
      </c>
      <c r="N151" s="6">
        <v>20.59</v>
      </c>
      <c r="O151" s="6">
        <v>57.39</v>
      </c>
      <c r="P151" s="5">
        <v>286096923</v>
      </c>
    </row>
    <row r="152" spans="1:16">
      <c r="A152" t="s">
        <v>26</v>
      </c>
      <c r="B152">
        <v>2010</v>
      </c>
      <c r="C152">
        <v>5782</v>
      </c>
      <c r="D152">
        <v>4.87571921749137</v>
      </c>
      <c r="E152">
        <v>0.00196982643093566</v>
      </c>
      <c r="F152">
        <v>9662</v>
      </c>
      <c r="G152">
        <v>0.43535</v>
      </c>
      <c r="H152">
        <v>23831</v>
      </c>
      <c r="I152">
        <v>0.276580285783483</v>
      </c>
      <c r="J152">
        <v>0.000210874303705498</v>
      </c>
      <c r="K152">
        <v>14529</v>
      </c>
      <c r="L152" s="6">
        <v>9.2</v>
      </c>
      <c r="M152" s="6">
        <v>0.77</v>
      </c>
      <c r="N152" s="6">
        <v>4.31</v>
      </c>
      <c r="O152" s="6">
        <v>47.78</v>
      </c>
      <c r="P152" s="5">
        <v>20709139</v>
      </c>
    </row>
    <row r="153" spans="1:16">
      <c r="A153" t="s">
        <v>26</v>
      </c>
      <c r="B153">
        <v>2011</v>
      </c>
      <c r="C153">
        <v>6820</v>
      </c>
      <c r="D153">
        <v>4.76067415730337</v>
      </c>
      <c r="E153">
        <v>0.00228966249910808</v>
      </c>
      <c r="F153">
        <v>10905</v>
      </c>
      <c r="G153">
        <v>2.75336</v>
      </c>
      <c r="H153">
        <v>28898</v>
      </c>
      <c r="I153">
        <v>0.283232778099308</v>
      </c>
      <c r="J153">
        <v>0.00109145108734431</v>
      </c>
      <c r="K153">
        <v>14646</v>
      </c>
      <c r="L153" s="6">
        <v>19.99</v>
      </c>
      <c r="M153" s="6">
        <v>2.27</v>
      </c>
      <c r="N153" s="6">
        <v>3.86</v>
      </c>
      <c r="O153" s="6">
        <v>50.34</v>
      </c>
      <c r="P153" s="5">
        <v>25719220</v>
      </c>
    </row>
    <row r="154" spans="1:16">
      <c r="A154" t="s">
        <v>26</v>
      </c>
      <c r="B154">
        <v>2012</v>
      </c>
      <c r="C154">
        <v>7465</v>
      </c>
      <c r="D154">
        <v>4.65604395604396</v>
      </c>
      <c r="E154">
        <v>0.00273478221282139</v>
      </c>
      <c r="F154">
        <v>11819</v>
      </c>
      <c r="G154">
        <v>4.82794</v>
      </c>
      <c r="H154">
        <v>32377</v>
      </c>
      <c r="I154">
        <v>0.281722546348502</v>
      </c>
      <c r="J154">
        <v>0.00169072749812645</v>
      </c>
      <c r="K154">
        <v>15845</v>
      </c>
      <c r="L154" s="6">
        <v>19.74</v>
      </c>
      <c r="M154" s="6">
        <v>2.25</v>
      </c>
      <c r="N154" s="6">
        <v>4.12</v>
      </c>
      <c r="O154" s="6">
        <v>51.02</v>
      </c>
      <c r="P154" s="5">
        <v>29463070</v>
      </c>
    </row>
    <row r="155" spans="1:16">
      <c r="A155" t="s">
        <v>26</v>
      </c>
      <c r="B155">
        <v>2013</v>
      </c>
      <c r="C155">
        <v>6744</v>
      </c>
      <c r="D155">
        <v>4.6054347826087</v>
      </c>
      <c r="E155">
        <v>0.00294460529462858</v>
      </c>
      <c r="F155">
        <v>12839</v>
      </c>
      <c r="G155">
        <v>3.50942</v>
      </c>
      <c r="H155">
        <v>35663</v>
      </c>
      <c r="I155">
        <v>0.274200959226576</v>
      </c>
      <c r="J155">
        <v>0.00110443862586387</v>
      </c>
      <c r="K155">
        <v>16791</v>
      </c>
      <c r="L155" s="6">
        <v>19.44</v>
      </c>
      <c r="M155" s="6">
        <v>2.26</v>
      </c>
      <c r="N155" s="6">
        <v>3.07</v>
      </c>
      <c r="O155" s="6">
        <v>52.28</v>
      </c>
      <c r="P155" s="5">
        <v>32809960</v>
      </c>
    </row>
    <row r="156" spans="1:16">
      <c r="A156" t="s">
        <v>26</v>
      </c>
      <c r="B156">
        <v>2014</v>
      </c>
      <c r="C156">
        <v>7956</v>
      </c>
      <c r="D156">
        <v>4.5042735042735</v>
      </c>
      <c r="E156">
        <v>0.00317106195296968</v>
      </c>
      <c r="F156">
        <v>14164</v>
      </c>
      <c r="G156">
        <v>5.6</v>
      </c>
      <c r="H156">
        <v>38924</v>
      </c>
      <c r="I156">
        <v>0.250225667862611</v>
      </c>
      <c r="J156">
        <v>0.00159967092483832</v>
      </c>
      <c r="K156">
        <v>16691</v>
      </c>
      <c r="L156" s="6">
        <v>19.6</v>
      </c>
      <c r="M156" s="6">
        <v>2.29</v>
      </c>
      <c r="N156" s="6">
        <v>4.09</v>
      </c>
      <c r="O156" s="6">
        <v>53.3</v>
      </c>
      <c r="P156" s="5">
        <v>36432864</v>
      </c>
    </row>
    <row r="157" spans="1:16">
      <c r="A157" t="s">
        <v>26</v>
      </c>
      <c r="B157">
        <v>2015</v>
      </c>
      <c r="C157">
        <v>6879</v>
      </c>
      <c r="D157">
        <v>8.07619047619048</v>
      </c>
      <c r="E157">
        <v>0.00302047931813026</v>
      </c>
      <c r="F157">
        <v>15357</v>
      </c>
      <c r="G157">
        <v>1.3</v>
      </c>
      <c r="H157">
        <v>40818</v>
      </c>
      <c r="I157">
        <v>0.236531668269075</v>
      </c>
      <c r="J157">
        <v>0.000351089457593795</v>
      </c>
      <c r="K157">
        <v>17138</v>
      </c>
      <c r="L157" s="6">
        <v>18.79</v>
      </c>
      <c r="M157" s="6">
        <v>2.1</v>
      </c>
      <c r="N157" s="6">
        <v>3.99</v>
      </c>
      <c r="O157" s="6">
        <v>54.91</v>
      </c>
      <c r="P157" s="5">
        <v>38573010</v>
      </c>
    </row>
    <row r="158" spans="1:16">
      <c r="A158" t="s">
        <v>26</v>
      </c>
      <c r="B158">
        <v>2016</v>
      </c>
      <c r="C158">
        <v>5066</v>
      </c>
      <c r="D158">
        <v>7.97492163009404</v>
      </c>
      <c r="E158">
        <v>0.00196929093062272</v>
      </c>
      <c r="F158">
        <v>16390</v>
      </c>
      <c r="G158">
        <v>1.6</v>
      </c>
      <c r="H158">
        <v>44347</v>
      </c>
      <c r="I158">
        <v>0.223514753774795</v>
      </c>
      <c r="J158">
        <v>0.000394749827296951</v>
      </c>
      <c r="K158">
        <v>32323</v>
      </c>
      <c r="L158" s="6">
        <v>4.9</v>
      </c>
      <c r="M158" s="6">
        <v>0.57</v>
      </c>
      <c r="N158" s="6">
        <v>1.05</v>
      </c>
      <c r="O158" s="6">
        <v>56.7</v>
      </c>
      <c r="P158" s="5">
        <v>42440079</v>
      </c>
    </row>
    <row r="159" spans="1:16">
      <c r="A159" t="s">
        <v>26</v>
      </c>
      <c r="B159">
        <v>2017</v>
      </c>
      <c r="C159">
        <v>5978</v>
      </c>
      <c r="D159">
        <v>7.85185185185185</v>
      </c>
      <c r="E159">
        <v>0.00167651158308945</v>
      </c>
      <c r="F159">
        <v>18473</v>
      </c>
      <c r="G159">
        <v>3.42531</v>
      </c>
      <c r="H159">
        <v>48430</v>
      </c>
      <c r="I159">
        <v>0.223269707386376</v>
      </c>
      <c r="J159">
        <v>0.000767569590412635</v>
      </c>
      <c r="K159">
        <v>31715</v>
      </c>
      <c r="L159" s="6">
        <v>5.15</v>
      </c>
      <c r="M159" s="6">
        <v>0.55</v>
      </c>
      <c r="N159" s="6">
        <v>1.04</v>
      </c>
      <c r="O159" s="6">
        <v>58.04</v>
      </c>
      <c r="P159" s="5">
        <v>47073960</v>
      </c>
    </row>
    <row r="160" spans="1:16">
      <c r="A160" t="s">
        <v>26</v>
      </c>
      <c r="B160">
        <v>2018</v>
      </c>
      <c r="C160">
        <v>5978</v>
      </c>
      <c r="D160">
        <v>7.77189409368635</v>
      </c>
      <c r="E160">
        <v>0.00235319377903788</v>
      </c>
      <c r="F160">
        <v>18282</v>
      </c>
      <c r="G160">
        <v>1.67297066666667</v>
      </c>
      <c r="H160">
        <v>51955.29225</v>
      </c>
      <c r="I160">
        <v>0.226775385188481</v>
      </c>
      <c r="J160">
        <v>0.000346223790454707</v>
      </c>
      <c r="K160">
        <v>21372</v>
      </c>
      <c r="L160" s="6">
        <v>4.95</v>
      </c>
      <c r="M160" s="6">
        <v>0.5</v>
      </c>
      <c r="N160" s="6">
        <v>0.93</v>
      </c>
      <c r="O160" s="6">
        <v>59.13</v>
      </c>
      <c r="P160" s="5">
        <v>51020096.9895</v>
      </c>
    </row>
    <row r="161" spans="1:16">
      <c r="A161" t="s">
        <v>26</v>
      </c>
      <c r="B161">
        <v>2019</v>
      </c>
      <c r="C161">
        <v>6764.5</v>
      </c>
      <c r="D161">
        <v>7.67035175879397</v>
      </c>
      <c r="E161">
        <v>0.00203721653892592</v>
      </c>
      <c r="F161">
        <v>19839</v>
      </c>
      <c r="G161">
        <v>0.62579</v>
      </c>
      <c r="H161">
        <v>56506.83</v>
      </c>
      <c r="I161">
        <v>0.207015349609055</v>
      </c>
      <c r="J161">
        <v>0.000117874976690218</v>
      </c>
      <c r="K161">
        <v>20510</v>
      </c>
      <c r="L161" s="6">
        <v>4.49</v>
      </c>
      <c r="M161" s="6">
        <v>0.47</v>
      </c>
      <c r="N161" s="6">
        <v>0.95</v>
      </c>
      <c r="O161" s="6">
        <v>59.37</v>
      </c>
      <c r="P161" s="5">
        <v>56224295.85</v>
      </c>
    </row>
    <row r="162" spans="1:16">
      <c r="A162" t="s">
        <v>26</v>
      </c>
      <c r="B162">
        <v>2020</v>
      </c>
      <c r="C162">
        <v>6660.25759233081</v>
      </c>
      <c r="D162">
        <v>7.54150197628458</v>
      </c>
      <c r="E162">
        <v>0.00211520337503321</v>
      </c>
      <c r="F162">
        <v>19895</v>
      </c>
      <c r="G162">
        <v>0.0476</v>
      </c>
      <c r="H162">
        <v>55131</v>
      </c>
      <c r="I162">
        <v>0.190742156644777</v>
      </c>
      <c r="J162">
        <v>8.60387644399618e-6</v>
      </c>
      <c r="K162">
        <v>17595</v>
      </c>
      <c r="L162" s="6">
        <v>17.28</v>
      </c>
      <c r="M162" s="6">
        <v>0.81</v>
      </c>
      <c r="N162" s="6">
        <v>3.08</v>
      </c>
      <c r="O162" s="6">
        <v>60.27</v>
      </c>
      <c r="P162" s="5">
        <v>55792572</v>
      </c>
    </row>
    <row r="163" spans="1:16">
      <c r="A163" t="s">
        <v>26</v>
      </c>
      <c r="B163">
        <v>2021</v>
      </c>
      <c r="C163">
        <v>6557.62158270385</v>
      </c>
      <c r="D163">
        <v>7.48235294117647</v>
      </c>
      <c r="E163">
        <v>0.00218594946874228</v>
      </c>
      <c r="F163">
        <v>20373</v>
      </c>
      <c r="G163">
        <v>1.10909</v>
      </c>
      <c r="H163">
        <v>63707</v>
      </c>
      <c r="I163">
        <v>0.19131455399061</v>
      </c>
      <c r="J163">
        <v>0.000171282740301458</v>
      </c>
      <c r="K163">
        <v>15881</v>
      </c>
      <c r="L163" s="6">
        <v>17.17</v>
      </c>
      <c r="M163" s="6">
        <v>0.66</v>
      </c>
      <c r="N163" s="6">
        <v>2.93</v>
      </c>
      <c r="O163" s="6">
        <v>60.97</v>
      </c>
      <c r="P163" s="5">
        <v>64981140</v>
      </c>
    </row>
    <row r="164" spans="1:16">
      <c r="A164" t="s">
        <v>26</v>
      </c>
      <c r="B164">
        <v>2022</v>
      </c>
      <c r="C164">
        <v>6722.78398520522</v>
      </c>
      <c r="D164">
        <v>7.43135345666991</v>
      </c>
      <c r="E164">
        <v>0.00219075269132616</v>
      </c>
      <c r="F164">
        <v>18806</v>
      </c>
      <c r="G164">
        <v>0.75993</v>
      </c>
      <c r="H164">
        <v>66602</v>
      </c>
      <c r="I164">
        <v>0.192264820627145</v>
      </c>
      <c r="J164">
        <v>0.000111456102783726</v>
      </c>
      <c r="K164">
        <v>15594</v>
      </c>
      <c r="L164" s="6">
        <v>18.42</v>
      </c>
      <c r="M164" s="6">
        <v>0.67</v>
      </c>
      <c r="N164" s="6">
        <v>2.99</v>
      </c>
      <c r="O164" s="6">
        <v>61.49</v>
      </c>
      <c r="P164" s="5">
        <v>68400254</v>
      </c>
    </row>
    <row r="165" spans="1:16">
      <c r="A165" t="s">
        <v>26</v>
      </c>
      <c r="B165">
        <v>2023</v>
      </c>
      <c r="C165">
        <v>6774.57146337577</v>
      </c>
      <c r="D165">
        <v>7.31735378715245</v>
      </c>
      <c r="E165">
        <v>0.00252732810679097</v>
      </c>
      <c r="F165">
        <v>20679</v>
      </c>
      <c r="G165">
        <v>0.14973</v>
      </c>
      <c r="H165">
        <v>72958</v>
      </c>
      <c r="I165">
        <v>0.191823816082212</v>
      </c>
      <c r="J165">
        <v>1.98286365081047e-5</v>
      </c>
      <c r="K165">
        <v>14673</v>
      </c>
      <c r="L165" s="6">
        <v>19.53</v>
      </c>
      <c r="M165" s="6">
        <v>1.01</v>
      </c>
      <c r="N165" s="6">
        <v>3.25</v>
      </c>
      <c r="O165" s="6">
        <v>62.46</v>
      </c>
      <c r="P165" s="5">
        <v>76095194</v>
      </c>
    </row>
    <row r="166" spans="1:16">
      <c r="A166" t="s">
        <v>26</v>
      </c>
      <c r="B166">
        <v>2024</v>
      </c>
      <c r="C166">
        <v>6826.3584</v>
      </c>
      <c r="D166">
        <v>4.04293893129771</v>
      </c>
      <c r="E166">
        <v>0.00263773202111975</v>
      </c>
      <c r="G166">
        <v>0.15081</v>
      </c>
      <c r="H166">
        <v>75903</v>
      </c>
      <c r="I166">
        <v>0.188754615219829</v>
      </c>
      <c r="J166">
        <v>1.9003994606651e-5</v>
      </c>
      <c r="L166" s="6">
        <v>17.6</v>
      </c>
      <c r="M166" s="6">
        <v>0.8</v>
      </c>
      <c r="N166" s="6">
        <v>3.05</v>
      </c>
      <c r="O166" s="6">
        <v>63.08</v>
      </c>
      <c r="P166" s="5">
        <v>79546344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6"/>
  <sheetViews>
    <sheetView workbookViewId="0">
      <selection activeCell="F12" sqref="F12"/>
    </sheetView>
  </sheetViews>
  <sheetFormatPr defaultColWidth="9" defaultRowHeight="12.5" outlineLevelCol="6"/>
  <cols>
    <col min="1" max="1" width="4.90909090909091" customWidth="1"/>
    <col min="2" max="2" width="5.27272727272727" customWidth="1"/>
    <col min="3" max="3" width="22.1818181818182" customWidth="1"/>
    <col min="4" max="4" width="8.54545454545454" customWidth="1"/>
    <col min="5" max="5" width="14.3636363636364" customWidth="1"/>
    <col min="6" max="6" width="21.6363636363636" customWidth="1"/>
    <col min="7" max="7" width="21.7272727272727" customWidth="1"/>
    <col min="9" max="9" width="21.7272727272727" customWidth="1"/>
  </cols>
  <sheetData>
    <row r="1" ht="26" spans="1:7">
      <c r="A1" s="8" t="s">
        <v>0</v>
      </c>
      <c r="B1" s="8" t="s">
        <v>1</v>
      </c>
      <c r="C1" s="2" t="s">
        <v>7</v>
      </c>
      <c r="D1" s="2" t="s">
        <v>27</v>
      </c>
      <c r="E1" s="9" t="s">
        <v>28</v>
      </c>
      <c r="F1" s="1" t="s">
        <v>11</v>
      </c>
      <c r="G1" t="s">
        <v>29</v>
      </c>
    </row>
    <row r="2" spans="1:7">
      <c r="A2" t="s">
        <v>16</v>
      </c>
      <c r="B2">
        <v>2010</v>
      </c>
      <c r="C2" s="1">
        <v>72994</v>
      </c>
      <c r="D2" s="1">
        <v>1299</v>
      </c>
      <c r="E2" s="5">
        <f>C2*D2</f>
        <v>94819206</v>
      </c>
      <c r="F2" s="6">
        <v>13.2</v>
      </c>
      <c r="G2" s="1">
        <f t="shared" ref="G2:G16" si="0">LN(F2/E2)</f>
        <v>-15.7872657120501</v>
      </c>
    </row>
    <row r="3" spans="1:7">
      <c r="A3" t="s">
        <v>16</v>
      </c>
      <c r="B3">
        <v>2011</v>
      </c>
      <c r="C3" s="1">
        <v>85213</v>
      </c>
      <c r="D3" s="1">
        <v>1341</v>
      </c>
      <c r="E3" s="5">
        <f t="shared" ref="E3:E66" si="1">C3*D3</f>
        <v>114270633</v>
      </c>
      <c r="F3" s="6">
        <v>23.58</v>
      </c>
      <c r="G3" s="1">
        <f t="shared" si="0"/>
        <v>-15.39368127151</v>
      </c>
    </row>
    <row r="4" spans="1:7">
      <c r="A4" t="s">
        <v>16</v>
      </c>
      <c r="B4">
        <v>2012</v>
      </c>
      <c r="C4" s="1">
        <v>93173</v>
      </c>
      <c r="D4" s="1">
        <v>1378</v>
      </c>
      <c r="E4" s="5">
        <f t="shared" si="1"/>
        <v>128392394</v>
      </c>
      <c r="F4" s="6">
        <v>22.94</v>
      </c>
      <c r="G4" s="1">
        <f t="shared" si="0"/>
        <v>-15.5377195990042</v>
      </c>
    </row>
    <row r="5" spans="1:7">
      <c r="A5" t="s">
        <v>16</v>
      </c>
      <c r="B5">
        <v>2013</v>
      </c>
      <c r="C5" s="1">
        <v>100105</v>
      </c>
      <c r="D5" s="1">
        <v>1410</v>
      </c>
      <c r="E5" s="5">
        <f t="shared" si="1"/>
        <v>141148050</v>
      </c>
      <c r="F5" s="6">
        <v>22.15</v>
      </c>
      <c r="G5" s="1">
        <f t="shared" si="0"/>
        <v>-15.6674824009869</v>
      </c>
    </row>
    <row r="6" spans="1:7">
      <c r="A6" t="s">
        <v>16</v>
      </c>
      <c r="B6">
        <v>2014</v>
      </c>
      <c r="C6" s="1">
        <v>105231</v>
      </c>
      <c r="D6" s="1">
        <v>1429</v>
      </c>
      <c r="E6" s="5">
        <f t="shared" si="1"/>
        <v>150375099</v>
      </c>
      <c r="F6" s="6">
        <v>21.43</v>
      </c>
      <c r="G6" s="1">
        <f t="shared" si="0"/>
        <v>-15.7638515811275</v>
      </c>
    </row>
    <row r="7" spans="1:7">
      <c r="A7" t="s">
        <v>16</v>
      </c>
      <c r="B7">
        <v>2015</v>
      </c>
      <c r="C7" s="1">
        <v>107960.0883</v>
      </c>
      <c r="D7" s="1">
        <v>1439</v>
      </c>
      <c r="E7" s="5">
        <f t="shared" si="1"/>
        <v>155354567.0637</v>
      </c>
      <c r="F7" s="6">
        <v>20.91</v>
      </c>
      <c r="G7" s="1">
        <f t="shared" si="0"/>
        <v>-15.8209930784739</v>
      </c>
    </row>
    <row r="8" spans="1:7">
      <c r="A8" t="s">
        <v>16</v>
      </c>
      <c r="B8">
        <v>2016</v>
      </c>
      <c r="C8" s="1">
        <v>115053</v>
      </c>
      <c r="D8" s="1">
        <v>1443</v>
      </c>
      <c r="E8" s="5">
        <f t="shared" si="1"/>
        <v>166021479</v>
      </c>
      <c r="F8" s="6">
        <v>4.8</v>
      </c>
      <c r="G8" s="1">
        <f t="shared" si="0"/>
        <v>-17.3590118116029</v>
      </c>
    </row>
    <row r="9" spans="1:7">
      <c r="A9" t="s">
        <v>16</v>
      </c>
      <c r="B9">
        <v>2017</v>
      </c>
      <c r="C9" s="1">
        <v>118943.5683</v>
      </c>
      <c r="D9" s="1">
        <v>1410</v>
      </c>
      <c r="E9" s="5">
        <f t="shared" si="1"/>
        <v>167710431.303</v>
      </c>
      <c r="F9" s="6">
        <v>4.43</v>
      </c>
      <c r="G9" s="1">
        <f t="shared" si="0"/>
        <v>-17.4493498429665</v>
      </c>
    </row>
    <row r="10" spans="1:7">
      <c r="A10" t="s">
        <v>16</v>
      </c>
      <c r="B10">
        <v>2018</v>
      </c>
      <c r="C10" s="1">
        <v>120710.8019</v>
      </c>
      <c r="D10" s="1">
        <v>1383</v>
      </c>
      <c r="E10" s="5">
        <f t="shared" si="1"/>
        <v>166943039.0277</v>
      </c>
      <c r="F10" s="6">
        <v>4.17</v>
      </c>
      <c r="G10" s="1">
        <f t="shared" si="0"/>
        <v>-17.5052471927216</v>
      </c>
    </row>
    <row r="11" spans="1:7">
      <c r="A11" t="s">
        <v>16</v>
      </c>
      <c r="B11">
        <v>2019</v>
      </c>
      <c r="C11" s="1">
        <v>90370.63</v>
      </c>
      <c r="D11" s="1">
        <v>1385</v>
      </c>
      <c r="E11" s="5">
        <f t="shared" si="1"/>
        <v>125163322.55</v>
      </c>
      <c r="F11" s="6">
        <v>3.78</v>
      </c>
      <c r="G11" s="1">
        <f t="shared" si="0"/>
        <v>-17.3154060132017</v>
      </c>
    </row>
    <row r="12" spans="1:7">
      <c r="A12" t="s">
        <v>16</v>
      </c>
      <c r="B12">
        <v>2020</v>
      </c>
      <c r="C12" s="1">
        <v>101614</v>
      </c>
      <c r="D12" s="1">
        <v>1387</v>
      </c>
      <c r="E12" s="5">
        <f t="shared" si="1"/>
        <v>140938618</v>
      </c>
      <c r="F12" s="6">
        <v>15.63</v>
      </c>
      <c r="G12" s="1">
        <f t="shared" si="0"/>
        <v>-16.0146428757907</v>
      </c>
    </row>
    <row r="13" spans="1:7">
      <c r="A13" t="s">
        <v>16</v>
      </c>
      <c r="B13">
        <v>2021</v>
      </c>
      <c r="C13" s="1">
        <v>113732</v>
      </c>
      <c r="D13" s="1">
        <v>1373</v>
      </c>
      <c r="E13" s="5">
        <f t="shared" si="1"/>
        <v>156154036</v>
      </c>
      <c r="F13" s="6">
        <v>15.52</v>
      </c>
      <c r="G13" s="1">
        <f t="shared" si="0"/>
        <v>-16.1242239735463</v>
      </c>
    </row>
    <row r="14" spans="1:7">
      <c r="A14" t="s">
        <v>16</v>
      </c>
      <c r="B14">
        <v>2022</v>
      </c>
      <c r="C14" s="1">
        <v>119235</v>
      </c>
      <c r="D14" s="1">
        <v>1363</v>
      </c>
      <c r="E14" s="5">
        <f t="shared" si="1"/>
        <v>162517305</v>
      </c>
      <c r="F14" s="6">
        <v>15.2</v>
      </c>
      <c r="G14" s="1">
        <f t="shared" si="0"/>
        <v>-16.1849996185196</v>
      </c>
    </row>
    <row r="15" spans="1:7">
      <c r="A15" t="s">
        <v>16</v>
      </c>
      <c r="B15">
        <v>2023</v>
      </c>
      <c r="C15" s="1">
        <v>122752</v>
      </c>
      <c r="D15" s="1">
        <v>1364</v>
      </c>
      <c r="E15" s="5">
        <f t="shared" si="1"/>
        <v>167433728</v>
      </c>
      <c r="F15" s="6">
        <v>17.64</v>
      </c>
      <c r="G15" s="1">
        <f t="shared" si="0"/>
        <v>-16.0659291266278</v>
      </c>
    </row>
    <row r="16" spans="1:7">
      <c r="A16" t="s">
        <v>16</v>
      </c>
      <c r="B16">
        <v>2024</v>
      </c>
      <c r="C16" s="1">
        <v>132143</v>
      </c>
      <c r="D16" s="1">
        <v>1364</v>
      </c>
      <c r="E16" s="5">
        <f t="shared" si="1"/>
        <v>180243052</v>
      </c>
      <c r="F16" s="6">
        <v>18.92</v>
      </c>
      <c r="G16" s="1">
        <f t="shared" si="0"/>
        <v>-16.0695972232994</v>
      </c>
    </row>
    <row r="17" spans="1:7">
      <c r="A17" t="s">
        <v>17</v>
      </c>
      <c r="B17">
        <v>2010</v>
      </c>
      <c r="C17" s="1">
        <v>28668</v>
      </c>
      <c r="D17" s="1">
        <v>7194</v>
      </c>
      <c r="E17" s="5">
        <f t="shared" si="1"/>
        <v>206237592</v>
      </c>
      <c r="F17" s="6">
        <v>54.6</v>
      </c>
      <c r="G17" s="1">
        <f t="shared" ref="G3:I66" si="2">LN(F17/E17)</f>
        <v>-15.1445055386185</v>
      </c>
    </row>
    <row r="18" spans="1:7">
      <c r="A18" t="s">
        <v>17</v>
      </c>
      <c r="B18">
        <v>2011</v>
      </c>
      <c r="C18" s="1">
        <v>33969</v>
      </c>
      <c r="D18" s="1">
        <v>7232</v>
      </c>
      <c r="E18" s="5">
        <f t="shared" si="1"/>
        <v>245663808</v>
      </c>
      <c r="F18" s="6">
        <v>138.88</v>
      </c>
      <c r="G18" s="1">
        <f t="shared" si="2"/>
        <v>-14.3858642741421</v>
      </c>
    </row>
    <row r="19" spans="1:7">
      <c r="A19" t="s">
        <v>17</v>
      </c>
      <c r="B19">
        <v>2012</v>
      </c>
      <c r="C19" s="1">
        <v>36584</v>
      </c>
      <c r="D19" s="1">
        <v>7262</v>
      </c>
      <c r="E19" s="5">
        <f t="shared" si="1"/>
        <v>265673008</v>
      </c>
      <c r="F19" s="6">
        <v>134.91</v>
      </c>
      <c r="G19" s="1">
        <f t="shared" si="2"/>
        <v>-14.4931689278614</v>
      </c>
    </row>
    <row r="20" spans="1:7">
      <c r="A20" t="s">
        <v>17</v>
      </c>
      <c r="B20">
        <v>2013</v>
      </c>
      <c r="C20" s="1">
        <v>38909</v>
      </c>
      <c r="D20" s="1">
        <v>7288</v>
      </c>
      <c r="E20" s="5">
        <f t="shared" si="1"/>
        <v>283568792</v>
      </c>
      <c r="F20" s="6">
        <v>130.99</v>
      </c>
      <c r="G20" s="1">
        <f t="shared" si="2"/>
        <v>-14.5878443198445</v>
      </c>
    </row>
    <row r="21" spans="1:7">
      <c r="A21" t="s">
        <v>17</v>
      </c>
      <c r="B21">
        <v>2014</v>
      </c>
      <c r="C21" s="1">
        <v>39984</v>
      </c>
      <c r="D21" s="1">
        <v>7323</v>
      </c>
      <c r="E21" s="5">
        <f t="shared" si="1"/>
        <v>292802832</v>
      </c>
      <c r="F21" s="6">
        <v>126.85</v>
      </c>
      <c r="G21" s="1">
        <f t="shared" si="2"/>
        <v>-14.6520047260905</v>
      </c>
    </row>
    <row r="22" spans="1:7">
      <c r="A22" t="s">
        <v>17</v>
      </c>
      <c r="B22">
        <v>2015</v>
      </c>
      <c r="C22" s="1">
        <v>40255</v>
      </c>
      <c r="D22" s="1">
        <v>7345</v>
      </c>
      <c r="E22" s="5">
        <f t="shared" si="1"/>
        <v>295672975</v>
      </c>
      <c r="F22" s="6">
        <v>120.81</v>
      </c>
      <c r="G22" s="1">
        <f t="shared" si="2"/>
        <v>-14.7105455238106</v>
      </c>
    </row>
    <row r="23" spans="1:7">
      <c r="A23" t="s">
        <v>17</v>
      </c>
      <c r="B23">
        <v>2016</v>
      </c>
      <c r="C23" s="1">
        <v>43062</v>
      </c>
      <c r="D23" s="1">
        <v>7375</v>
      </c>
      <c r="E23" s="5">
        <f t="shared" si="1"/>
        <v>317582250</v>
      </c>
      <c r="F23" s="6">
        <v>25.24</v>
      </c>
      <c r="G23" s="1">
        <f t="shared" si="2"/>
        <v>-16.3478173601931</v>
      </c>
    </row>
    <row r="24" spans="1:7">
      <c r="A24" t="s">
        <v>17</v>
      </c>
      <c r="B24">
        <v>2017</v>
      </c>
      <c r="C24" s="1">
        <v>45387</v>
      </c>
      <c r="D24" s="1">
        <v>7409</v>
      </c>
      <c r="E24" s="5">
        <f t="shared" si="1"/>
        <v>336272283</v>
      </c>
      <c r="F24" s="6">
        <v>27.61</v>
      </c>
      <c r="G24" s="1">
        <f t="shared" si="2"/>
        <v>-16.3152537298875</v>
      </c>
    </row>
    <row r="25" spans="1:7">
      <c r="A25" t="s">
        <v>17</v>
      </c>
      <c r="B25">
        <v>2018</v>
      </c>
      <c r="C25" s="1">
        <v>47772.22068</v>
      </c>
      <c r="D25" s="1">
        <v>7426</v>
      </c>
      <c r="E25" s="5">
        <f t="shared" si="1"/>
        <v>354756510.76968</v>
      </c>
      <c r="F25" s="6">
        <v>23.81</v>
      </c>
      <c r="G25" s="1">
        <f t="shared" si="2"/>
        <v>-16.5168365664583</v>
      </c>
    </row>
    <row r="26" spans="1:7">
      <c r="A26" t="s">
        <v>17</v>
      </c>
      <c r="B26">
        <v>2019</v>
      </c>
      <c r="C26" s="1">
        <v>46347.89</v>
      </c>
      <c r="D26" s="1">
        <v>7447</v>
      </c>
      <c r="E26" s="5">
        <f t="shared" si="1"/>
        <v>345152736.83</v>
      </c>
      <c r="F26" s="6">
        <v>22.38</v>
      </c>
      <c r="G26" s="1">
        <f t="shared" si="2"/>
        <v>-16.5513298895916</v>
      </c>
    </row>
    <row r="27" spans="1:7">
      <c r="A27" t="s">
        <v>17</v>
      </c>
      <c r="B27">
        <v>2020</v>
      </c>
      <c r="C27" s="1">
        <v>48564</v>
      </c>
      <c r="D27" s="1">
        <v>7464</v>
      </c>
      <c r="E27" s="5">
        <f t="shared" si="1"/>
        <v>362481696</v>
      </c>
      <c r="F27" s="6">
        <v>127.42</v>
      </c>
      <c r="G27" s="1">
        <f t="shared" si="2"/>
        <v>-14.8609958205027</v>
      </c>
    </row>
    <row r="28" spans="1:7">
      <c r="A28" t="s">
        <v>17</v>
      </c>
      <c r="B28">
        <v>2021</v>
      </c>
      <c r="C28" s="1">
        <v>54172</v>
      </c>
      <c r="D28" s="1">
        <v>7448</v>
      </c>
      <c r="E28" s="5">
        <f t="shared" si="1"/>
        <v>403473056</v>
      </c>
      <c r="F28" s="6">
        <v>153.53</v>
      </c>
      <c r="G28" s="1">
        <f t="shared" si="2"/>
        <v>-14.7817242800614</v>
      </c>
    </row>
    <row r="29" spans="1:7">
      <c r="A29" t="s">
        <v>17</v>
      </c>
      <c r="B29">
        <v>2022</v>
      </c>
      <c r="C29" s="1">
        <v>56995</v>
      </c>
      <c r="D29" s="1">
        <v>7420</v>
      </c>
      <c r="E29" s="5">
        <f t="shared" si="1"/>
        <v>422902900</v>
      </c>
      <c r="F29" s="6">
        <v>152.78</v>
      </c>
      <c r="G29" s="1">
        <f t="shared" si="2"/>
        <v>-14.8336541817191</v>
      </c>
    </row>
    <row r="30" spans="1:7">
      <c r="A30" t="s">
        <v>17</v>
      </c>
      <c r="B30">
        <v>2023</v>
      </c>
      <c r="C30" s="1">
        <v>59332</v>
      </c>
      <c r="D30" s="1">
        <v>7393</v>
      </c>
      <c r="E30" s="5">
        <f t="shared" si="1"/>
        <v>438641476</v>
      </c>
      <c r="F30" s="6">
        <v>159.31</v>
      </c>
      <c r="G30" s="1">
        <f t="shared" si="2"/>
        <v>-14.8283409644158</v>
      </c>
    </row>
    <row r="31" spans="1:7">
      <c r="A31" t="s">
        <v>17</v>
      </c>
      <c r="B31">
        <v>2024</v>
      </c>
      <c r="C31" s="1">
        <v>64352</v>
      </c>
      <c r="D31" s="1">
        <v>7378</v>
      </c>
      <c r="E31" s="5">
        <f t="shared" si="1"/>
        <v>474789056</v>
      </c>
      <c r="F31" s="6">
        <v>153.61</v>
      </c>
      <c r="G31" s="1">
        <f t="shared" si="2"/>
        <v>-14.9439642479679</v>
      </c>
    </row>
    <row r="32" spans="1:7">
      <c r="A32" t="s">
        <v>18</v>
      </c>
      <c r="B32">
        <v>2010</v>
      </c>
      <c r="C32" s="1">
        <v>42355</v>
      </c>
      <c r="D32" s="1">
        <v>4375</v>
      </c>
      <c r="E32" s="5">
        <f t="shared" si="1"/>
        <v>185303125</v>
      </c>
      <c r="F32" s="6">
        <v>54.2</v>
      </c>
      <c r="G32" s="1">
        <f t="shared" si="2"/>
        <v>-15.0448226472118</v>
      </c>
    </row>
    <row r="33" spans="1:7">
      <c r="A33" t="s">
        <v>18</v>
      </c>
      <c r="B33">
        <v>2011</v>
      </c>
      <c r="C33" s="1">
        <v>50760</v>
      </c>
      <c r="D33" s="1">
        <v>4379</v>
      </c>
      <c r="E33" s="5">
        <f t="shared" si="1"/>
        <v>222278040</v>
      </c>
      <c r="F33" s="6">
        <v>134.34</v>
      </c>
      <c r="G33" s="1">
        <f t="shared" si="2"/>
        <v>-14.319065688791</v>
      </c>
    </row>
    <row r="34" spans="1:7">
      <c r="A34" t="s">
        <v>18</v>
      </c>
      <c r="B34">
        <v>2012</v>
      </c>
      <c r="C34" s="1">
        <v>56649</v>
      </c>
      <c r="D34" s="1">
        <v>4375</v>
      </c>
      <c r="E34" s="5">
        <f t="shared" si="1"/>
        <v>247839375</v>
      </c>
      <c r="F34" s="6">
        <v>130.59</v>
      </c>
      <c r="G34" s="1">
        <f t="shared" si="2"/>
        <v>-14.4562287686091</v>
      </c>
    </row>
    <row r="35" spans="1:7">
      <c r="A35" t="s">
        <v>18</v>
      </c>
      <c r="B35">
        <v>2013</v>
      </c>
      <c r="C35" s="1">
        <v>61996</v>
      </c>
      <c r="D35" s="1">
        <v>4365</v>
      </c>
      <c r="E35" s="5">
        <f t="shared" si="1"/>
        <v>270612540</v>
      </c>
      <c r="F35" s="6">
        <v>125.26</v>
      </c>
      <c r="G35" s="1">
        <f t="shared" si="2"/>
        <v>-14.5858070369934</v>
      </c>
    </row>
    <row r="36" spans="1:7">
      <c r="A36" t="s">
        <v>18</v>
      </c>
      <c r="B36">
        <v>2014</v>
      </c>
      <c r="C36" s="1">
        <v>65201</v>
      </c>
      <c r="D36" s="1">
        <v>4358</v>
      </c>
      <c r="E36" s="5">
        <f t="shared" si="1"/>
        <v>284145958</v>
      </c>
      <c r="F36" s="6">
        <v>121.7</v>
      </c>
      <c r="G36" s="1">
        <f t="shared" si="2"/>
        <v>-14.6634396007315</v>
      </c>
    </row>
    <row r="37" spans="1:7">
      <c r="A37" t="s">
        <v>18</v>
      </c>
      <c r="B37">
        <v>2015</v>
      </c>
      <c r="C37" s="1">
        <v>65354.4122</v>
      </c>
      <c r="D37" s="1">
        <v>4338</v>
      </c>
      <c r="E37" s="5">
        <f t="shared" si="1"/>
        <v>283507440.1236</v>
      </c>
      <c r="F37" s="6">
        <v>116.75</v>
      </c>
      <c r="G37" s="1">
        <f t="shared" si="2"/>
        <v>-14.7027140280609</v>
      </c>
    </row>
    <row r="38" spans="1:7">
      <c r="A38" t="s">
        <v>18</v>
      </c>
      <c r="B38">
        <v>2016</v>
      </c>
      <c r="C38" s="1">
        <v>50791</v>
      </c>
      <c r="D38" s="1">
        <v>4327</v>
      </c>
      <c r="E38" s="5">
        <f t="shared" si="1"/>
        <v>219772657</v>
      </c>
      <c r="F38" s="6">
        <v>16.67</v>
      </c>
      <c r="G38" s="1">
        <f t="shared" si="2"/>
        <v>-16.3944934959788</v>
      </c>
    </row>
    <row r="39" spans="1:7">
      <c r="A39" t="s">
        <v>18</v>
      </c>
      <c r="B39">
        <v>2017</v>
      </c>
      <c r="C39" s="1">
        <v>53526.65444</v>
      </c>
      <c r="D39" s="1">
        <v>4312</v>
      </c>
      <c r="E39" s="5">
        <f t="shared" si="1"/>
        <v>230806933.94528</v>
      </c>
      <c r="F39" s="6">
        <v>16.3</v>
      </c>
      <c r="G39" s="1">
        <f t="shared" si="2"/>
        <v>-16.4659270274247</v>
      </c>
    </row>
    <row r="40" spans="1:7">
      <c r="A40" t="s">
        <v>18</v>
      </c>
      <c r="B40">
        <v>2018</v>
      </c>
      <c r="C40" s="1">
        <v>58007.51578</v>
      </c>
      <c r="D40" s="1">
        <v>4291</v>
      </c>
      <c r="E40" s="5">
        <f t="shared" si="1"/>
        <v>248910250.21198</v>
      </c>
      <c r="F40" s="6">
        <v>13.46</v>
      </c>
      <c r="G40" s="1">
        <f t="shared" si="2"/>
        <v>-16.7328806243222</v>
      </c>
    </row>
    <row r="41" spans="1:7">
      <c r="A41" t="s">
        <v>18</v>
      </c>
      <c r="B41">
        <v>2019</v>
      </c>
      <c r="C41" s="1">
        <v>57191</v>
      </c>
      <c r="D41" s="1">
        <v>4277</v>
      </c>
      <c r="E41" s="5">
        <f t="shared" si="1"/>
        <v>244605907</v>
      </c>
      <c r="F41" s="6">
        <v>13.11</v>
      </c>
      <c r="G41" s="1">
        <f t="shared" si="2"/>
        <v>-16.7417836327822</v>
      </c>
    </row>
    <row r="42" spans="1:7">
      <c r="A42" t="s">
        <v>18</v>
      </c>
      <c r="B42">
        <v>2020</v>
      </c>
      <c r="C42" s="1">
        <v>58872</v>
      </c>
      <c r="D42" s="1">
        <v>4255</v>
      </c>
      <c r="E42" s="5">
        <f t="shared" si="1"/>
        <v>250500360</v>
      </c>
      <c r="F42" s="6">
        <v>124.75</v>
      </c>
      <c r="G42" s="1">
        <f t="shared" si="2"/>
        <v>-14.5126591809823</v>
      </c>
    </row>
    <row r="43" spans="1:7">
      <c r="A43" t="s">
        <v>18</v>
      </c>
      <c r="B43">
        <v>2021</v>
      </c>
      <c r="C43" s="1">
        <v>65026</v>
      </c>
      <c r="D43" s="1">
        <v>4229</v>
      </c>
      <c r="E43" s="5">
        <f t="shared" si="1"/>
        <v>274994954</v>
      </c>
      <c r="F43" s="6">
        <v>119.86</v>
      </c>
      <c r="G43" s="1">
        <f t="shared" si="2"/>
        <v>-14.6459389113416</v>
      </c>
    </row>
    <row r="44" spans="1:7">
      <c r="A44" t="s">
        <v>18</v>
      </c>
      <c r="B44">
        <v>2022</v>
      </c>
      <c r="C44" s="1">
        <v>68775</v>
      </c>
      <c r="D44" s="1">
        <v>4197</v>
      </c>
      <c r="E44" s="5">
        <f t="shared" si="1"/>
        <v>288648675</v>
      </c>
      <c r="F44" s="6">
        <v>121.45</v>
      </c>
      <c r="G44" s="1">
        <f t="shared" si="2"/>
        <v>-14.6812181936782</v>
      </c>
    </row>
    <row r="45" spans="1:7">
      <c r="A45" t="s">
        <v>18</v>
      </c>
      <c r="B45">
        <v>2023</v>
      </c>
      <c r="C45" s="1">
        <v>72107</v>
      </c>
      <c r="D45" s="1">
        <v>4182</v>
      </c>
      <c r="E45" s="5">
        <f t="shared" si="1"/>
        <v>301551474</v>
      </c>
      <c r="F45" s="6">
        <v>142.39</v>
      </c>
      <c r="G45" s="1">
        <f t="shared" si="2"/>
        <v>-14.5658815141347</v>
      </c>
    </row>
    <row r="46" spans="1:7">
      <c r="A46" t="s">
        <v>18</v>
      </c>
      <c r="B46">
        <v>2024</v>
      </c>
      <c r="C46" s="1">
        <v>78236</v>
      </c>
      <c r="D46" s="1">
        <v>4155</v>
      </c>
      <c r="E46" s="5">
        <f t="shared" si="1"/>
        <v>325070580</v>
      </c>
      <c r="F46" s="6">
        <v>137.2</v>
      </c>
      <c r="G46" s="1">
        <f t="shared" si="2"/>
        <v>-14.6781131706552</v>
      </c>
    </row>
    <row r="47" spans="1:7">
      <c r="A47" t="s">
        <v>19</v>
      </c>
      <c r="B47">
        <v>2010</v>
      </c>
      <c r="C47" s="1">
        <v>76074</v>
      </c>
      <c r="D47" s="1">
        <v>2303</v>
      </c>
      <c r="E47" s="5">
        <f t="shared" si="1"/>
        <v>175198422</v>
      </c>
      <c r="F47" s="6">
        <v>22</v>
      </c>
      <c r="G47" s="1">
        <f t="shared" si="2"/>
        <v>-15.8903872762184</v>
      </c>
    </row>
    <row r="48" spans="1:7">
      <c r="A48" t="s">
        <v>19</v>
      </c>
      <c r="B48">
        <v>2011</v>
      </c>
      <c r="C48" s="1">
        <v>82560</v>
      </c>
      <c r="D48" s="1">
        <v>2356</v>
      </c>
      <c r="E48" s="5">
        <f t="shared" si="1"/>
        <v>194511360</v>
      </c>
      <c r="F48" s="6">
        <v>24.9</v>
      </c>
      <c r="G48" s="1">
        <f t="shared" si="2"/>
        <v>-15.8711333220162</v>
      </c>
    </row>
    <row r="49" spans="1:7">
      <c r="A49" t="s">
        <v>19</v>
      </c>
      <c r="B49">
        <v>2012</v>
      </c>
      <c r="C49" s="1">
        <v>85373</v>
      </c>
      <c r="D49" s="1">
        <v>2399</v>
      </c>
      <c r="E49" s="5">
        <f t="shared" si="1"/>
        <v>204809827</v>
      </c>
      <c r="F49" s="6">
        <v>24.26</v>
      </c>
      <c r="G49" s="1">
        <f t="shared" si="2"/>
        <v>-15.948763529861</v>
      </c>
    </row>
    <row r="50" spans="1:7">
      <c r="A50" t="s">
        <v>19</v>
      </c>
      <c r="B50">
        <v>2013</v>
      </c>
      <c r="C50" s="1">
        <v>90993</v>
      </c>
      <c r="D50" s="1">
        <v>2448</v>
      </c>
      <c r="E50" s="5">
        <f t="shared" si="1"/>
        <v>222750864</v>
      </c>
      <c r="F50" s="6">
        <v>23.56</v>
      </c>
      <c r="G50" s="1">
        <f t="shared" si="2"/>
        <v>-16.0620141443122</v>
      </c>
    </row>
    <row r="51" spans="1:7">
      <c r="A51" t="s">
        <v>19</v>
      </c>
      <c r="B51">
        <v>2014</v>
      </c>
      <c r="C51" s="1">
        <v>97370</v>
      </c>
      <c r="D51" s="1">
        <v>2467</v>
      </c>
      <c r="E51" s="5">
        <f t="shared" si="1"/>
        <v>240211790</v>
      </c>
      <c r="F51" s="6">
        <v>22.44</v>
      </c>
      <c r="G51" s="1">
        <f t="shared" si="2"/>
        <v>-16.1861864698477</v>
      </c>
    </row>
    <row r="52" spans="1:7">
      <c r="A52" t="s">
        <v>19</v>
      </c>
      <c r="B52">
        <v>2015</v>
      </c>
      <c r="C52" s="1">
        <v>103795.536</v>
      </c>
      <c r="D52" s="1">
        <v>2458</v>
      </c>
      <c r="E52" s="5">
        <f t="shared" si="1"/>
        <v>255129427.488</v>
      </c>
      <c r="F52" s="6">
        <v>19.88</v>
      </c>
      <c r="G52" s="1">
        <f t="shared" si="2"/>
        <v>-16.3675673319064</v>
      </c>
    </row>
    <row r="53" spans="1:7">
      <c r="A53" t="s">
        <v>19</v>
      </c>
      <c r="B53">
        <v>2016</v>
      </c>
      <c r="C53" s="1">
        <v>116562</v>
      </c>
      <c r="D53" s="1">
        <v>2467</v>
      </c>
      <c r="E53" s="5">
        <f t="shared" si="1"/>
        <v>287558454</v>
      </c>
      <c r="F53" s="6">
        <v>7.88</v>
      </c>
      <c r="G53" s="1">
        <f t="shared" si="2"/>
        <v>-17.4126088119264</v>
      </c>
    </row>
    <row r="54" spans="1:7">
      <c r="A54" t="s">
        <v>19</v>
      </c>
      <c r="B54">
        <v>2017</v>
      </c>
      <c r="C54" s="1">
        <v>126634.15</v>
      </c>
      <c r="D54" s="1">
        <v>2466</v>
      </c>
      <c r="E54" s="5">
        <f t="shared" si="1"/>
        <v>312279813.9</v>
      </c>
      <c r="F54" s="6">
        <v>6.52</v>
      </c>
      <c r="G54" s="1">
        <f t="shared" si="2"/>
        <v>-17.6845358073381</v>
      </c>
    </row>
    <row r="55" spans="1:7">
      <c r="A55" t="s">
        <v>19</v>
      </c>
      <c r="B55">
        <v>2018</v>
      </c>
      <c r="C55" s="1">
        <v>134982</v>
      </c>
      <c r="D55" s="1">
        <v>2475</v>
      </c>
      <c r="E55" s="5">
        <f t="shared" si="1"/>
        <v>334080450</v>
      </c>
      <c r="F55" s="6">
        <v>6.21</v>
      </c>
      <c r="G55" s="1">
        <f t="shared" si="2"/>
        <v>-17.800731494255</v>
      </c>
    </row>
    <row r="56" spans="1:7">
      <c r="A56" t="s">
        <v>19</v>
      </c>
      <c r="B56">
        <v>2019</v>
      </c>
      <c r="C56" s="1">
        <v>157279</v>
      </c>
      <c r="D56" s="1">
        <v>2481</v>
      </c>
      <c r="E56" s="5">
        <f t="shared" si="1"/>
        <v>390209199</v>
      </c>
      <c r="F56" s="6">
        <v>5.56</v>
      </c>
      <c r="G56" s="1">
        <f t="shared" si="2"/>
        <v>-18.0665954527026</v>
      </c>
    </row>
    <row r="57" spans="1:7">
      <c r="A57" t="s">
        <v>19</v>
      </c>
      <c r="B57">
        <v>2020</v>
      </c>
      <c r="C57" s="1">
        <v>155768</v>
      </c>
      <c r="D57" s="1">
        <v>2488</v>
      </c>
      <c r="E57" s="5">
        <f t="shared" si="1"/>
        <v>387550784</v>
      </c>
      <c r="F57" s="6">
        <v>7.29</v>
      </c>
      <c r="G57" s="1">
        <f t="shared" si="2"/>
        <v>-17.788853907634</v>
      </c>
    </row>
    <row r="58" spans="1:7">
      <c r="A58" t="s">
        <v>19</v>
      </c>
      <c r="B58">
        <v>2021</v>
      </c>
      <c r="C58" s="1">
        <v>173630</v>
      </c>
      <c r="D58" s="1">
        <v>2489</v>
      </c>
      <c r="E58" s="5">
        <f t="shared" si="1"/>
        <v>432165070</v>
      </c>
      <c r="F58" s="6">
        <v>7.51</v>
      </c>
      <c r="G58" s="1">
        <f t="shared" si="2"/>
        <v>-17.8680827139297</v>
      </c>
    </row>
    <row r="59" spans="1:7">
      <c r="A59" t="s">
        <v>19</v>
      </c>
      <c r="B59">
        <v>2022</v>
      </c>
      <c r="C59" s="1">
        <v>179907</v>
      </c>
      <c r="D59" s="1">
        <v>2475</v>
      </c>
      <c r="E59" s="5">
        <f t="shared" si="1"/>
        <v>445269825</v>
      </c>
      <c r="F59" s="6">
        <v>7.75</v>
      </c>
      <c r="G59" s="1">
        <f t="shared" si="2"/>
        <v>-17.866498161325</v>
      </c>
    </row>
    <row r="60" spans="1:7">
      <c r="A60" t="s">
        <v>19</v>
      </c>
      <c r="B60">
        <v>2023</v>
      </c>
      <c r="C60" s="1">
        <v>190321</v>
      </c>
      <c r="D60" s="1">
        <v>2487</v>
      </c>
      <c r="E60" s="5">
        <f t="shared" si="1"/>
        <v>473328327</v>
      </c>
      <c r="F60" s="6">
        <v>10.97</v>
      </c>
      <c r="G60" s="1">
        <f t="shared" si="2"/>
        <v>-17.5801355687878</v>
      </c>
    </row>
    <row r="61" spans="1:7">
      <c r="A61" t="s">
        <v>19</v>
      </c>
      <c r="B61">
        <v>2024</v>
      </c>
      <c r="C61" s="1">
        <v>217140</v>
      </c>
      <c r="D61" s="1">
        <v>2480</v>
      </c>
      <c r="E61" s="5">
        <f t="shared" si="1"/>
        <v>538507200</v>
      </c>
      <c r="F61" s="6">
        <v>13.07</v>
      </c>
      <c r="G61" s="1">
        <f t="shared" si="2"/>
        <v>-17.5339918973087</v>
      </c>
    </row>
    <row r="62" spans="1:7">
      <c r="A62" t="s">
        <v>20</v>
      </c>
      <c r="B62">
        <v>2010</v>
      </c>
      <c r="C62" s="1">
        <v>52840</v>
      </c>
      <c r="D62" s="1">
        <v>7869</v>
      </c>
      <c r="E62" s="5">
        <f t="shared" si="1"/>
        <v>415797960</v>
      </c>
      <c r="F62" s="6">
        <v>78.8</v>
      </c>
      <c r="G62" s="1">
        <f t="shared" si="2"/>
        <v>-15.4787970303074</v>
      </c>
    </row>
    <row r="63" spans="1:7">
      <c r="A63" t="s">
        <v>20</v>
      </c>
      <c r="B63">
        <v>2011</v>
      </c>
      <c r="C63" s="1">
        <v>62290</v>
      </c>
      <c r="D63" s="1">
        <v>8023</v>
      </c>
      <c r="E63" s="5">
        <f t="shared" si="1"/>
        <v>499752670</v>
      </c>
      <c r="F63" s="6">
        <v>124.62</v>
      </c>
      <c r="G63" s="1">
        <f t="shared" si="2"/>
        <v>-15.2043547668858</v>
      </c>
    </row>
    <row r="64" spans="1:7">
      <c r="A64" t="s">
        <v>20</v>
      </c>
      <c r="B64">
        <v>2012</v>
      </c>
      <c r="C64" s="1">
        <v>68347</v>
      </c>
      <c r="D64" s="1">
        <v>8120</v>
      </c>
      <c r="E64" s="5">
        <f t="shared" si="1"/>
        <v>554977640</v>
      </c>
      <c r="F64" s="6">
        <v>119.7</v>
      </c>
      <c r="G64" s="1">
        <f t="shared" si="2"/>
        <v>-15.3494497700469</v>
      </c>
    </row>
    <row r="65" spans="1:7">
      <c r="A65" t="s">
        <v>20</v>
      </c>
      <c r="B65">
        <v>2013</v>
      </c>
      <c r="C65" s="1">
        <v>75354</v>
      </c>
      <c r="D65" s="1">
        <v>8192</v>
      </c>
      <c r="E65" s="5">
        <f t="shared" si="1"/>
        <v>617299968</v>
      </c>
      <c r="F65" s="6">
        <v>114.89</v>
      </c>
      <c r="G65" s="1">
        <f t="shared" si="2"/>
        <v>-15.4968904866602</v>
      </c>
    </row>
    <row r="66" spans="1:7">
      <c r="A66" t="s">
        <v>20</v>
      </c>
      <c r="B66">
        <v>2014</v>
      </c>
      <c r="C66" s="1">
        <v>81874</v>
      </c>
      <c r="D66" s="1">
        <v>8281</v>
      </c>
      <c r="E66" s="5">
        <f t="shared" si="1"/>
        <v>677998594</v>
      </c>
      <c r="F66" s="6">
        <v>110</v>
      </c>
      <c r="G66" s="1">
        <f t="shared" si="2"/>
        <v>-15.6341754063638</v>
      </c>
    </row>
    <row r="67" spans="1:7">
      <c r="A67" t="s">
        <v>20</v>
      </c>
      <c r="B67">
        <v>2015</v>
      </c>
      <c r="C67" s="1">
        <v>87995</v>
      </c>
      <c r="D67" s="1">
        <v>8315</v>
      </c>
      <c r="E67" s="5">
        <f t="shared" ref="E67:E130" si="3">C67*D67</f>
        <v>731678425</v>
      </c>
      <c r="F67" s="6">
        <v>105.46</v>
      </c>
      <c r="G67" s="1">
        <f t="shared" ref="G67:I130" si="4">LN(F67/E67)</f>
        <v>-15.752519931189</v>
      </c>
    </row>
    <row r="68" spans="1:7">
      <c r="A68" t="s">
        <v>20</v>
      </c>
      <c r="B68">
        <v>2016</v>
      </c>
      <c r="C68" s="1">
        <v>96887</v>
      </c>
      <c r="D68" s="1">
        <v>8381</v>
      </c>
      <c r="E68" s="5">
        <f t="shared" si="3"/>
        <v>812009947</v>
      </c>
      <c r="F68" s="6">
        <v>57.85</v>
      </c>
      <c r="G68" s="1">
        <f t="shared" si="4"/>
        <v>-16.4571696944112</v>
      </c>
    </row>
    <row r="69" spans="1:7">
      <c r="A69" t="s">
        <v>20</v>
      </c>
      <c r="B69">
        <v>2017</v>
      </c>
      <c r="C69" s="1">
        <v>107150</v>
      </c>
      <c r="D69" s="1">
        <v>8423</v>
      </c>
      <c r="E69" s="5">
        <f t="shared" si="3"/>
        <v>902524450</v>
      </c>
      <c r="F69" s="6">
        <v>53.03</v>
      </c>
      <c r="G69" s="1">
        <f t="shared" si="4"/>
        <v>-16.649848548068</v>
      </c>
    </row>
    <row r="70" spans="1:7">
      <c r="A70" t="s">
        <v>20</v>
      </c>
      <c r="B70">
        <v>2018</v>
      </c>
      <c r="C70" s="1">
        <v>115168.408</v>
      </c>
      <c r="D70" s="1">
        <v>8446</v>
      </c>
      <c r="E70" s="5">
        <f t="shared" si="3"/>
        <v>972712373.968</v>
      </c>
      <c r="F70" s="6">
        <v>48.8</v>
      </c>
      <c r="G70" s="1">
        <f t="shared" si="4"/>
        <v>-16.807868676158</v>
      </c>
    </row>
    <row r="71" spans="1:7">
      <c r="A71" t="s">
        <v>20</v>
      </c>
      <c r="B71">
        <v>2019</v>
      </c>
      <c r="C71" s="1">
        <v>123607</v>
      </c>
      <c r="D71" s="1">
        <v>8469</v>
      </c>
      <c r="E71" s="5">
        <f t="shared" si="3"/>
        <v>1046827683</v>
      </c>
      <c r="F71" s="6">
        <v>47.41</v>
      </c>
      <c r="G71" s="1">
        <f t="shared" si="4"/>
        <v>-16.9101969967138</v>
      </c>
    </row>
    <row r="72" spans="1:7">
      <c r="A72" t="s">
        <v>20</v>
      </c>
      <c r="B72">
        <v>2020</v>
      </c>
      <c r="C72" s="1">
        <v>121231</v>
      </c>
      <c r="D72" s="1">
        <v>8477</v>
      </c>
      <c r="E72" s="5">
        <f t="shared" si="3"/>
        <v>1027675187</v>
      </c>
      <c r="F72" s="6">
        <v>120.78</v>
      </c>
      <c r="G72" s="1">
        <f t="shared" si="4"/>
        <v>-15.9565942792186</v>
      </c>
    </row>
    <row r="73" spans="1:7">
      <c r="A73" t="s">
        <v>20</v>
      </c>
      <c r="B73">
        <v>2021</v>
      </c>
      <c r="C73" s="1">
        <v>137039</v>
      </c>
      <c r="D73" s="1">
        <v>8505</v>
      </c>
      <c r="E73" s="5">
        <f t="shared" si="3"/>
        <v>1165516695</v>
      </c>
      <c r="F73" s="6">
        <v>119.49</v>
      </c>
      <c r="G73" s="1">
        <f t="shared" si="4"/>
        <v>-16.0931976548002</v>
      </c>
    </row>
    <row r="74" spans="1:7">
      <c r="A74" t="s">
        <v>20</v>
      </c>
      <c r="B74">
        <v>2022</v>
      </c>
      <c r="C74" s="1">
        <v>144390</v>
      </c>
      <c r="D74" s="1">
        <v>8515</v>
      </c>
      <c r="E74" s="5">
        <f t="shared" si="3"/>
        <v>1229480850</v>
      </c>
      <c r="F74" s="6">
        <v>124.01</v>
      </c>
      <c r="G74" s="1">
        <f t="shared" si="4"/>
        <v>-16.1094956365474</v>
      </c>
    </row>
    <row r="75" spans="1:7">
      <c r="A75" t="s">
        <v>20</v>
      </c>
      <c r="B75">
        <v>2023</v>
      </c>
      <c r="C75" s="1">
        <v>150487</v>
      </c>
      <c r="D75" s="1">
        <v>8526</v>
      </c>
      <c r="E75" s="5">
        <f t="shared" si="3"/>
        <v>1283052162</v>
      </c>
      <c r="F75" s="6">
        <v>127.68</v>
      </c>
      <c r="G75" s="1">
        <f t="shared" si="4"/>
        <v>-16.1229804443263</v>
      </c>
    </row>
    <row r="76" spans="1:7">
      <c r="A76" t="s">
        <v>20</v>
      </c>
      <c r="B76">
        <v>2024</v>
      </c>
      <c r="C76" s="1">
        <v>160694</v>
      </c>
      <c r="D76" s="1">
        <v>8526</v>
      </c>
      <c r="E76" s="5">
        <f t="shared" si="3"/>
        <v>1370077044</v>
      </c>
      <c r="F76" s="6">
        <v>120.63</v>
      </c>
      <c r="G76" s="1">
        <f t="shared" si="4"/>
        <v>-16.2454048021243</v>
      </c>
    </row>
    <row r="77" spans="1:7">
      <c r="A77" t="s">
        <v>21</v>
      </c>
      <c r="B77">
        <v>2010</v>
      </c>
      <c r="C77" s="1">
        <v>51711</v>
      </c>
      <c r="D77" s="1">
        <v>5447</v>
      </c>
      <c r="E77" s="5">
        <f t="shared" si="3"/>
        <v>281669817</v>
      </c>
      <c r="F77" s="6">
        <v>48.7</v>
      </c>
      <c r="G77" s="1">
        <f t="shared" si="4"/>
        <v>-15.5705670511176</v>
      </c>
    </row>
    <row r="78" spans="1:7">
      <c r="A78" t="s">
        <v>21</v>
      </c>
      <c r="B78">
        <v>2011</v>
      </c>
      <c r="C78" s="1">
        <v>59249</v>
      </c>
      <c r="D78" s="1">
        <v>5570</v>
      </c>
      <c r="E78" s="5">
        <f t="shared" si="3"/>
        <v>330016930</v>
      </c>
      <c r="F78" s="6">
        <v>81.83</v>
      </c>
      <c r="G78" s="1">
        <f t="shared" si="4"/>
        <v>-15.2100105895999</v>
      </c>
    </row>
    <row r="79" spans="1:7">
      <c r="A79" t="s">
        <v>21</v>
      </c>
      <c r="B79">
        <v>2012</v>
      </c>
      <c r="C79" s="1">
        <v>63374</v>
      </c>
      <c r="D79" s="1">
        <v>5685</v>
      </c>
      <c r="E79" s="5">
        <f t="shared" si="3"/>
        <v>360281190</v>
      </c>
      <c r="F79" s="6">
        <v>78.62</v>
      </c>
      <c r="G79" s="1">
        <f t="shared" si="4"/>
        <v>-15.3377692478672</v>
      </c>
    </row>
    <row r="80" spans="1:7">
      <c r="A80" t="s">
        <v>21</v>
      </c>
      <c r="B80">
        <v>2013</v>
      </c>
      <c r="C80" s="1">
        <v>68805</v>
      </c>
      <c r="D80" s="1">
        <v>5784</v>
      </c>
      <c r="E80" s="5">
        <f t="shared" si="3"/>
        <v>397968120</v>
      </c>
      <c r="F80" s="6">
        <v>75.51</v>
      </c>
      <c r="G80" s="1">
        <f t="shared" si="4"/>
        <v>-15.4776173617226</v>
      </c>
    </row>
    <row r="81" spans="1:7">
      <c r="A81" t="s">
        <v>21</v>
      </c>
      <c r="B81">
        <v>2014</v>
      </c>
      <c r="C81" s="1">
        <v>73002</v>
      </c>
      <c r="D81" s="1">
        <v>5890</v>
      </c>
      <c r="E81" s="5">
        <f t="shared" si="3"/>
        <v>429981780</v>
      </c>
      <c r="F81" s="6">
        <v>72.54</v>
      </c>
      <c r="G81" s="1">
        <f t="shared" si="4"/>
        <v>-15.5951152598064</v>
      </c>
    </row>
    <row r="82" spans="1:7">
      <c r="A82" t="s">
        <v>21</v>
      </c>
      <c r="B82">
        <v>2015</v>
      </c>
      <c r="C82" s="1">
        <v>77643.68607</v>
      </c>
      <c r="D82" s="1">
        <v>5985</v>
      </c>
      <c r="E82" s="5">
        <f t="shared" si="3"/>
        <v>464697461.12895</v>
      </c>
      <c r="F82" s="6">
        <v>68.32</v>
      </c>
      <c r="G82" s="1">
        <f t="shared" si="4"/>
        <v>-15.7326945810974</v>
      </c>
    </row>
    <row r="83" spans="1:7">
      <c r="A83" t="s">
        <v>21</v>
      </c>
      <c r="B83">
        <v>2016</v>
      </c>
      <c r="C83" s="1">
        <v>84916</v>
      </c>
      <c r="D83" s="1">
        <v>6072</v>
      </c>
      <c r="E83" s="5">
        <f t="shared" si="3"/>
        <v>515609952</v>
      </c>
      <c r="F83" s="6">
        <v>27.76</v>
      </c>
      <c r="G83" s="1">
        <f t="shared" si="4"/>
        <v>-16.7372649949888</v>
      </c>
    </row>
    <row r="84" spans="1:7">
      <c r="A84" t="s">
        <v>21</v>
      </c>
      <c r="B84">
        <v>2017</v>
      </c>
      <c r="C84" s="1">
        <v>92057.01076</v>
      </c>
      <c r="D84" s="1">
        <v>6170</v>
      </c>
      <c r="E84" s="5">
        <f t="shared" si="3"/>
        <v>567991756.3892</v>
      </c>
      <c r="F84" s="6">
        <v>23.28</v>
      </c>
      <c r="G84" s="1">
        <f t="shared" si="4"/>
        <v>-17.0100228403176</v>
      </c>
    </row>
    <row r="85" spans="1:7">
      <c r="A85" t="s">
        <v>21</v>
      </c>
      <c r="B85">
        <v>2018</v>
      </c>
      <c r="C85" s="1">
        <v>98643.40881</v>
      </c>
      <c r="D85" s="1">
        <v>6273</v>
      </c>
      <c r="E85" s="5">
        <f t="shared" si="3"/>
        <v>618790103.46513</v>
      </c>
      <c r="F85" s="6">
        <v>21.75</v>
      </c>
      <c r="G85" s="1">
        <f t="shared" si="4"/>
        <v>-17.1636629258932</v>
      </c>
    </row>
    <row r="86" spans="1:7">
      <c r="A86" t="s">
        <v>21</v>
      </c>
      <c r="B86">
        <v>2019</v>
      </c>
      <c r="C86" s="1">
        <v>107623.61</v>
      </c>
      <c r="D86" s="1">
        <v>6375</v>
      </c>
      <c r="E86" s="5">
        <f t="shared" si="3"/>
        <v>686100513.75</v>
      </c>
      <c r="F86" s="6">
        <v>20.62</v>
      </c>
      <c r="G86" s="1">
        <f t="shared" si="4"/>
        <v>-17.3202732178696</v>
      </c>
    </row>
    <row r="87" spans="1:7">
      <c r="A87" t="s">
        <v>21</v>
      </c>
      <c r="B87">
        <v>2020</v>
      </c>
      <c r="C87" s="1">
        <v>100620</v>
      </c>
      <c r="D87" s="1">
        <v>6468</v>
      </c>
      <c r="E87" s="5">
        <f t="shared" si="3"/>
        <v>650810160</v>
      </c>
      <c r="F87" s="6">
        <v>53.22</v>
      </c>
      <c r="G87" s="1">
        <f t="shared" si="4"/>
        <v>-16.3192942791928</v>
      </c>
    </row>
    <row r="88" spans="1:7">
      <c r="A88" t="s">
        <v>21</v>
      </c>
      <c r="B88">
        <v>2021</v>
      </c>
      <c r="C88" s="1">
        <v>113032</v>
      </c>
      <c r="D88" s="1">
        <v>6540</v>
      </c>
      <c r="E88" s="5">
        <f t="shared" si="3"/>
        <v>739229280</v>
      </c>
      <c r="F88" s="6">
        <v>49.87</v>
      </c>
      <c r="G88" s="1">
        <f t="shared" si="4"/>
        <v>-16.5116990683389</v>
      </c>
    </row>
    <row r="89" spans="1:7">
      <c r="A89" t="s">
        <v>21</v>
      </c>
      <c r="B89">
        <v>2022</v>
      </c>
      <c r="C89" s="1">
        <v>118496</v>
      </c>
      <c r="D89" s="1">
        <v>6577</v>
      </c>
      <c r="E89" s="5">
        <f t="shared" si="3"/>
        <v>779348192</v>
      </c>
      <c r="F89" s="6">
        <v>46.75</v>
      </c>
      <c r="G89" s="1">
        <f t="shared" si="4"/>
        <v>-16.62915422128</v>
      </c>
    </row>
    <row r="90" spans="1:7">
      <c r="A90" t="s">
        <v>21</v>
      </c>
      <c r="B90">
        <v>2023</v>
      </c>
      <c r="C90" s="1">
        <v>125043</v>
      </c>
      <c r="D90" s="1">
        <v>6627</v>
      </c>
      <c r="E90" s="5">
        <f t="shared" si="3"/>
        <v>828659961</v>
      </c>
      <c r="F90" s="6">
        <v>54.3</v>
      </c>
      <c r="G90" s="1">
        <f t="shared" si="4"/>
        <v>-16.5407962222783</v>
      </c>
    </row>
    <row r="91" spans="1:7">
      <c r="A91" t="s">
        <v>21</v>
      </c>
      <c r="B91">
        <v>2024</v>
      </c>
      <c r="C91" s="1">
        <v>135565</v>
      </c>
      <c r="D91" s="1">
        <v>6670</v>
      </c>
      <c r="E91" s="5">
        <f t="shared" si="3"/>
        <v>904218550</v>
      </c>
      <c r="F91" s="6">
        <v>51.44</v>
      </c>
      <c r="G91" s="1">
        <f t="shared" si="4"/>
        <v>-16.6821655680577</v>
      </c>
    </row>
    <row r="92" spans="1:7">
      <c r="A92" t="s">
        <v>22</v>
      </c>
      <c r="B92">
        <v>2010</v>
      </c>
      <c r="C92" s="1">
        <v>40025</v>
      </c>
      <c r="D92" s="1">
        <v>3693</v>
      </c>
      <c r="E92" s="5">
        <f t="shared" si="3"/>
        <v>147812325</v>
      </c>
      <c r="F92" s="6">
        <v>37.3</v>
      </c>
      <c r="G92" s="1">
        <f t="shared" si="4"/>
        <v>-15.1924606260677</v>
      </c>
    </row>
    <row r="93" spans="1:7">
      <c r="A93" t="s">
        <v>22</v>
      </c>
      <c r="B93">
        <v>2011</v>
      </c>
      <c r="C93" s="1">
        <v>47377</v>
      </c>
      <c r="D93" s="1">
        <v>3784</v>
      </c>
      <c r="E93" s="5">
        <f t="shared" si="3"/>
        <v>179274568</v>
      </c>
      <c r="F93" s="6">
        <v>67.94</v>
      </c>
      <c r="G93" s="1">
        <f t="shared" si="4"/>
        <v>-14.7858041252918</v>
      </c>
    </row>
    <row r="94" spans="1:7">
      <c r="A94" t="s">
        <v>22</v>
      </c>
      <c r="B94">
        <v>2012</v>
      </c>
      <c r="C94" s="1">
        <v>52763</v>
      </c>
      <c r="D94" s="1">
        <v>3841</v>
      </c>
      <c r="E94" s="5">
        <f t="shared" si="3"/>
        <v>202662683</v>
      </c>
      <c r="F94" s="6">
        <v>66</v>
      </c>
      <c r="G94" s="1">
        <f t="shared" si="4"/>
        <v>-14.9373987527927</v>
      </c>
    </row>
    <row r="95" spans="1:7">
      <c r="A95" t="s">
        <v>22</v>
      </c>
      <c r="B95">
        <v>2013</v>
      </c>
      <c r="C95" s="1">
        <v>58145</v>
      </c>
      <c r="D95" s="1">
        <v>3885</v>
      </c>
      <c r="E95" s="5">
        <f t="shared" si="3"/>
        <v>225893325</v>
      </c>
      <c r="F95" s="6">
        <v>63.9</v>
      </c>
      <c r="G95" s="1">
        <f t="shared" si="4"/>
        <v>-15.0782540711454</v>
      </c>
    </row>
    <row r="96" spans="1:7">
      <c r="A96" t="s">
        <v>22</v>
      </c>
      <c r="B96">
        <v>2014</v>
      </c>
      <c r="C96" s="1">
        <v>63472</v>
      </c>
      <c r="D96" s="1">
        <v>3945</v>
      </c>
      <c r="E96" s="5">
        <f t="shared" si="3"/>
        <v>250397040</v>
      </c>
      <c r="F96" s="6">
        <v>62.98</v>
      </c>
      <c r="G96" s="1">
        <f t="shared" si="4"/>
        <v>-15.1957411603612</v>
      </c>
    </row>
    <row r="97" spans="1:7">
      <c r="A97" t="s">
        <v>22</v>
      </c>
      <c r="B97">
        <v>2015</v>
      </c>
      <c r="C97" s="1">
        <v>67965.51995</v>
      </c>
      <c r="D97" s="1">
        <v>3984</v>
      </c>
      <c r="E97" s="5">
        <f t="shared" si="3"/>
        <v>270774631.4808</v>
      </c>
      <c r="F97" s="6">
        <v>60.94</v>
      </c>
      <c r="G97" s="1">
        <f t="shared" si="4"/>
        <v>-15.3069076411482</v>
      </c>
    </row>
    <row r="98" spans="1:7">
      <c r="A98" t="s">
        <v>22</v>
      </c>
      <c r="B98">
        <v>2016</v>
      </c>
      <c r="C98" s="1">
        <v>74707</v>
      </c>
      <c r="D98" s="1">
        <v>4016</v>
      </c>
      <c r="E98" s="5">
        <f t="shared" si="3"/>
        <v>300023312</v>
      </c>
      <c r="F98" s="6">
        <v>28.88</v>
      </c>
      <c r="G98" s="1">
        <f t="shared" si="4"/>
        <v>-16.1562214222435</v>
      </c>
    </row>
    <row r="99" spans="1:7">
      <c r="A99" t="s">
        <v>22</v>
      </c>
      <c r="B99">
        <v>2017</v>
      </c>
      <c r="C99" s="1">
        <v>82677</v>
      </c>
      <c r="D99" s="1">
        <v>4065</v>
      </c>
      <c r="E99" s="5">
        <f t="shared" si="3"/>
        <v>336082005</v>
      </c>
      <c r="F99" s="6">
        <v>26.07</v>
      </c>
      <c r="G99" s="1">
        <f t="shared" si="4"/>
        <v>-16.3720805227037</v>
      </c>
    </row>
    <row r="100" spans="1:7">
      <c r="A100" t="s">
        <v>22</v>
      </c>
      <c r="B100">
        <v>2018</v>
      </c>
      <c r="C100" s="1">
        <v>91197.24911</v>
      </c>
      <c r="D100" s="1">
        <v>4104</v>
      </c>
      <c r="E100" s="5">
        <f t="shared" si="3"/>
        <v>374273510.34744</v>
      </c>
      <c r="F100" s="6">
        <v>26.52</v>
      </c>
      <c r="G100" s="1">
        <f t="shared" si="4"/>
        <v>-16.4625982338729</v>
      </c>
    </row>
    <row r="101" spans="1:7">
      <c r="A101" t="s">
        <v>22</v>
      </c>
      <c r="B101">
        <v>2019</v>
      </c>
      <c r="C101" s="1">
        <v>107139.25</v>
      </c>
      <c r="D101" s="1">
        <v>4137</v>
      </c>
      <c r="E101" s="5">
        <f t="shared" si="3"/>
        <v>443235077.25</v>
      </c>
      <c r="F101" s="6">
        <v>25.16</v>
      </c>
      <c r="G101" s="1">
        <f t="shared" si="4"/>
        <v>-16.684355403853</v>
      </c>
    </row>
    <row r="102" spans="1:7">
      <c r="A102" t="s">
        <v>22</v>
      </c>
      <c r="B102">
        <v>2020</v>
      </c>
      <c r="C102" s="1">
        <v>105818</v>
      </c>
      <c r="D102" s="1">
        <v>4161</v>
      </c>
      <c r="E102" s="5">
        <f t="shared" si="3"/>
        <v>440308698</v>
      </c>
      <c r="F102" s="6">
        <v>62.3</v>
      </c>
      <c r="G102" s="1">
        <f t="shared" si="4"/>
        <v>-15.7710251994501</v>
      </c>
    </row>
    <row r="103" spans="1:7">
      <c r="A103" t="s">
        <v>22</v>
      </c>
      <c r="B103">
        <v>2021</v>
      </c>
      <c r="C103" s="1">
        <v>116939</v>
      </c>
      <c r="D103" s="1">
        <v>4187</v>
      </c>
      <c r="E103" s="5">
        <f t="shared" si="3"/>
        <v>489623593</v>
      </c>
      <c r="F103" s="6">
        <v>55.69</v>
      </c>
      <c r="G103" s="1">
        <f t="shared" si="4"/>
        <v>-15.9893468787168</v>
      </c>
    </row>
    <row r="104" spans="1:7">
      <c r="A104" t="s">
        <v>22</v>
      </c>
      <c r="B104">
        <v>2022</v>
      </c>
      <c r="C104" s="1">
        <v>126829</v>
      </c>
      <c r="D104" s="1">
        <v>4188</v>
      </c>
      <c r="E104" s="5">
        <f t="shared" si="3"/>
        <v>531159852</v>
      </c>
      <c r="F104" s="6">
        <v>55.22</v>
      </c>
      <c r="G104" s="1">
        <f t="shared" si="4"/>
        <v>-16.0792483669489</v>
      </c>
    </row>
    <row r="105" spans="1:7">
      <c r="A105" t="s">
        <v>22</v>
      </c>
      <c r="B105">
        <v>2023</v>
      </c>
      <c r="C105" s="1">
        <v>129865</v>
      </c>
      <c r="D105" s="1">
        <v>4183</v>
      </c>
      <c r="E105" s="5">
        <f t="shared" si="3"/>
        <v>543225295</v>
      </c>
      <c r="F105" s="6">
        <v>66.24</v>
      </c>
      <c r="G105" s="1">
        <f t="shared" si="4"/>
        <v>-15.9197501896897</v>
      </c>
    </row>
    <row r="106" spans="1:7">
      <c r="A106" t="s">
        <v>22</v>
      </c>
      <c r="B106">
        <v>2024</v>
      </c>
      <c r="C106" s="1">
        <v>137920</v>
      </c>
      <c r="D106" s="1">
        <v>4193</v>
      </c>
      <c r="E106" s="5">
        <f t="shared" si="3"/>
        <v>578298560</v>
      </c>
      <c r="F106" s="6">
        <v>60.24</v>
      </c>
      <c r="G106" s="1">
        <f t="shared" si="4"/>
        <v>-16.0772642495766</v>
      </c>
    </row>
    <row r="107" spans="1:7">
      <c r="A107" t="s">
        <v>23</v>
      </c>
      <c r="B107">
        <v>2010</v>
      </c>
      <c r="C107" s="1">
        <v>41106</v>
      </c>
      <c r="D107" s="1">
        <v>9588</v>
      </c>
      <c r="E107" s="5">
        <f t="shared" si="3"/>
        <v>394124328</v>
      </c>
      <c r="F107" s="6">
        <v>62.1</v>
      </c>
      <c r="G107" s="1">
        <f t="shared" si="4"/>
        <v>-15.6634309818458</v>
      </c>
    </row>
    <row r="108" spans="1:7">
      <c r="A108" t="s">
        <v>23</v>
      </c>
      <c r="B108">
        <v>2011</v>
      </c>
      <c r="C108" s="1">
        <v>47335</v>
      </c>
      <c r="D108" s="1">
        <v>9665</v>
      </c>
      <c r="E108" s="5">
        <f t="shared" si="3"/>
        <v>457492775</v>
      </c>
      <c r="F108" s="6">
        <v>198.25</v>
      </c>
      <c r="G108" s="1">
        <f t="shared" si="4"/>
        <v>-14.6517427896905</v>
      </c>
    </row>
    <row r="109" spans="1:7">
      <c r="A109" t="s">
        <v>23</v>
      </c>
      <c r="B109">
        <v>2012</v>
      </c>
      <c r="C109" s="1">
        <v>51768</v>
      </c>
      <c r="D109" s="1">
        <v>9708</v>
      </c>
      <c r="E109" s="5">
        <f t="shared" si="3"/>
        <v>502563744</v>
      </c>
      <c r="F109" s="6">
        <v>192.12</v>
      </c>
      <c r="G109" s="1">
        <f t="shared" si="4"/>
        <v>-14.777112866787</v>
      </c>
    </row>
    <row r="110" spans="1:7">
      <c r="A110" t="s">
        <v>23</v>
      </c>
      <c r="B110">
        <v>2013</v>
      </c>
      <c r="C110" s="1">
        <v>56885</v>
      </c>
      <c r="D110" s="1">
        <v>9746</v>
      </c>
      <c r="E110" s="5">
        <f t="shared" si="3"/>
        <v>554401210</v>
      </c>
      <c r="F110" s="6">
        <v>184.57</v>
      </c>
      <c r="G110" s="1">
        <f t="shared" si="4"/>
        <v>-14.9153703930581</v>
      </c>
    </row>
    <row r="111" spans="1:7">
      <c r="A111" t="s">
        <v>23</v>
      </c>
      <c r="B111">
        <v>2014</v>
      </c>
      <c r="C111" s="1">
        <v>60879</v>
      </c>
      <c r="D111" s="1">
        <v>9808</v>
      </c>
      <c r="E111" s="5">
        <f t="shared" si="3"/>
        <v>597101232</v>
      </c>
      <c r="F111" s="6">
        <v>178.04</v>
      </c>
      <c r="G111" s="1">
        <f t="shared" si="4"/>
        <v>-15.0255889806734</v>
      </c>
    </row>
    <row r="112" spans="1:7">
      <c r="A112" t="s">
        <v>23</v>
      </c>
      <c r="B112">
        <v>2015</v>
      </c>
      <c r="C112" s="1">
        <v>64168.3001</v>
      </c>
      <c r="D112" s="1">
        <v>9866</v>
      </c>
      <c r="E112" s="5">
        <f t="shared" si="3"/>
        <v>633084448.7866</v>
      </c>
      <c r="F112" s="6">
        <v>175.76</v>
      </c>
      <c r="G112" s="1">
        <f t="shared" si="4"/>
        <v>-15.0969949535391</v>
      </c>
    </row>
    <row r="113" spans="1:7">
      <c r="A113" t="s">
        <v>23</v>
      </c>
      <c r="B113">
        <v>2016</v>
      </c>
      <c r="C113" s="1">
        <v>68733</v>
      </c>
      <c r="D113" s="1">
        <v>9973</v>
      </c>
      <c r="E113" s="5">
        <f t="shared" si="3"/>
        <v>685474209</v>
      </c>
      <c r="F113" s="6">
        <v>33.8</v>
      </c>
      <c r="G113" s="1">
        <f t="shared" si="4"/>
        <v>-16.8251606301375</v>
      </c>
    </row>
    <row r="114" spans="1:7">
      <c r="A114" t="s">
        <v>23</v>
      </c>
      <c r="B114">
        <v>2017</v>
      </c>
      <c r="C114" s="1">
        <v>72807.13889</v>
      </c>
      <c r="D114" s="1">
        <v>10033</v>
      </c>
      <c r="E114" s="5">
        <f t="shared" si="3"/>
        <v>730474024.48337</v>
      </c>
      <c r="F114" s="6">
        <v>31.69</v>
      </c>
      <c r="G114" s="1">
        <f t="shared" si="4"/>
        <v>-16.9532030562757</v>
      </c>
    </row>
    <row r="115" spans="1:7">
      <c r="A115" t="s">
        <v>23</v>
      </c>
      <c r="B115">
        <v>2018</v>
      </c>
      <c r="C115" s="1">
        <v>76267.2567</v>
      </c>
      <c r="D115" s="1">
        <v>10077</v>
      </c>
      <c r="E115" s="5">
        <f t="shared" si="3"/>
        <v>768545145.7659</v>
      </c>
      <c r="F115" s="6">
        <v>29.2</v>
      </c>
      <c r="G115" s="1">
        <f t="shared" si="4"/>
        <v>-17.085841155247</v>
      </c>
    </row>
    <row r="116" spans="1:7">
      <c r="A116" t="s">
        <v>23</v>
      </c>
      <c r="B116">
        <v>2019</v>
      </c>
      <c r="C116" s="1">
        <v>70652.62</v>
      </c>
      <c r="D116" s="1">
        <v>10106</v>
      </c>
      <c r="E116" s="5">
        <f t="shared" si="3"/>
        <v>714015377.72</v>
      </c>
      <c r="F116" s="6">
        <v>27.57</v>
      </c>
      <c r="G116" s="1">
        <f t="shared" si="4"/>
        <v>-17.0696868324592</v>
      </c>
    </row>
    <row r="117" spans="1:7">
      <c r="A117" t="s">
        <v>23</v>
      </c>
      <c r="B117">
        <v>2020</v>
      </c>
      <c r="C117" s="1">
        <v>72151</v>
      </c>
      <c r="D117" s="1">
        <v>10165</v>
      </c>
      <c r="E117" s="5">
        <f t="shared" si="3"/>
        <v>733414915</v>
      </c>
      <c r="F117" s="6">
        <v>153.48</v>
      </c>
      <c r="G117" s="1">
        <f t="shared" si="4"/>
        <v>-15.3796518848035</v>
      </c>
    </row>
    <row r="118" spans="1:7">
      <c r="A118" t="s">
        <v>23</v>
      </c>
      <c r="B118">
        <v>2021</v>
      </c>
      <c r="C118" s="1">
        <v>81727</v>
      </c>
      <c r="D118" s="1">
        <v>10170</v>
      </c>
      <c r="E118" s="5">
        <f t="shared" si="3"/>
        <v>831163590</v>
      </c>
      <c r="F118" s="6">
        <v>156.28</v>
      </c>
      <c r="G118" s="1">
        <f t="shared" si="4"/>
        <v>-15.4866879224644</v>
      </c>
    </row>
    <row r="119" spans="1:7">
      <c r="A119" t="s">
        <v>23</v>
      </c>
      <c r="B119">
        <v>2022</v>
      </c>
      <c r="C119" s="1">
        <v>86003</v>
      </c>
      <c r="D119" s="1">
        <v>10163</v>
      </c>
      <c r="E119" s="5">
        <f t="shared" si="3"/>
        <v>874048489</v>
      </c>
      <c r="F119" s="6">
        <v>151.1</v>
      </c>
      <c r="G119" s="1">
        <f t="shared" si="4"/>
        <v>-15.5707045422072</v>
      </c>
    </row>
    <row r="120" spans="1:7">
      <c r="A120" t="s">
        <v>23</v>
      </c>
      <c r="B120">
        <v>2023</v>
      </c>
      <c r="C120" s="1">
        <v>90771</v>
      </c>
      <c r="D120" s="1">
        <v>10123</v>
      </c>
      <c r="E120" s="5">
        <f t="shared" si="3"/>
        <v>918874833</v>
      </c>
      <c r="F120" s="6">
        <v>174.56</v>
      </c>
      <c r="G120" s="1">
        <f t="shared" si="4"/>
        <v>-15.4763919498298</v>
      </c>
    </row>
    <row r="121" spans="1:7">
      <c r="A121" t="s">
        <v>23</v>
      </c>
      <c r="B121">
        <v>2024</v>
      </c>
      <c r="C121" s="1">
        <v>97575</v>
      </c>
      <c r="D121" s="1">
        <v>10080</v>
      </c>
      <c r="E121" s="5">
        <f t="shared" si="3"/>
        <v>983556000</v>
      </c>
      <c r="F121" s="6">
        <v>154.22</v>
      </c>
      <c r="G121" s="1">
        <f t="shared" si="4"/>
        <v>-15.6683049792694</v>
      </c>
    </row>
    <row r="122" spans="1:7">
      <c r="A122" t="s">
        <v>24</v>
      </c>
      <c r="B122">
        <v>2010</v>
      </c>
      <c r="C122" s="1">
        <v>44736</v>
      </c>
      <c r="D122" s="1">
        <v>10441</v>
      </c>
      <c r="E122" s="5">
        <f t="shared" si="3"/>
        <v>467088576</v>
      </c>
      <c r="F122" s="6">
        <v>85.8</v>
      </c>
      <c r="G122" s="1">
        <f t="shared" si="4"/>
        <v>-15.5100104613897</v>
      </c>
    </row>
    <row r="123" spans="1:7">
      <c r="A123" t="s">
        <v>24</v>
      </c>
      <c r="B123">
        <v>2011</v>
      </c>
      <c r="C123" s="1">
        <v>50807</v>
      </c>
      <c r="D123" s="1">
        <v>10756</v>
      </c>
      <c r="E123" s="5">
        <f t="shared" si="3"/>
        <v>546480092</v>
      </c>
      <c r="F123" s="6">
        <v>188.45</v>
      </c>
      <c r="G123" s="1">
        <f t="shared" si="4"/>
        <v>-14.8801757170249</v>
      </c>
    </row>
    <row r="124" spans="1:7">
      <c r="A124" t="s">
        <v>24</v>
      </c>
      <c r="B124">
        <v>2012</v>
      </c>
      <c r="C124" s="1">
        <v>54095</v>
      </c>
      <c r="D124" s="1">
        <v>11041</v>
      </c>
      <c r="E124" s="5">
        <f t="shared" si="3"/>
        <v>597262895</v>
      </c>
      <c r="F124" s="6">
        <v>180.29</v>
      </c>
      <c r="G124" s="1">
        <f t="shared" si="4"/>
        <v>-15.0133012690067</v>
      </c>
    </row>
    <row r="125" spans="1:7">
      <c r="A125" t="s">
        <v>24</v>
      </c>
      <c r="B125">
        <v>2013</v>
      </c>
      <c r="C125" s="1">
        <v>58833</v>
      </c>
      <c r="D125" s="1">
        <v>11270</v>
      </c>
      <c r="E125" s="5">
        <f t="shared" si="3"/>
        <v>663047910</v>
      </c>
      <c r="F125" s="6">
        <v>173.39</v>
      </c>
      <c r="G125" s="1">
        <f t="shared" si="4"/>
        <v>-15.1568144154262</v>
      </c>
    </row>
    <row r="126" spans="1:7">
      <c r="A126" t="s">
        <v>24</v>
      </c>
      <c r="B126">
        <v>2014</v>
      </c>
      <c r="C126" s="1">
        <v>63469</v>
      </c>
      <c r="D126" s="1">
        <v>11489</v>
      </c>
      <c r="E126" s="5">
        <f t="shared" si="3"/>
        <v>729195341</v>
      </c>
      <c r="F126" s="6">
        <v>167.06</v>
      </c>
      <c r="G126" s="1">
        <f t="shared" si="4"/>
        <v>-15.289099182227</v>
      </c>
    </row>
    <row r="127" spans="1:7">
      <c r="A127" t="s">
        <v>24</v>
      </c>
      <c r="B127">
        <v>2015</v>
      </c>
      <c r="C127" s="1">
        <v>67503</v>
      </c>
      <c r="D127" s="1">
        <v>11678</v>
      </c>
      <c r="E127" s="5">
        <f t="shared" si="3"/>
        <v>788300034</v>
      </c>
      <c r="F127" s="6">
        <v>160.69</v>
      </c>
      <c r="G127" s="1">
        <f t="shared" si="4"/>
        <v>-15.4059122861073</v>
      </c>
    </row>
    <row r="128" spans="1:7">
      <c r="A128" t="s">
        <v>24</v>
      </c>
      <c r="B128">
        <v>2016</v>
      </c>
      <c r="C128" s="1">
        <v>74016</v>
      </c>
      <c r="D128" s="1">
        <v>11908</v>
      </c>
      <c r="E128" s="5">
        <f t="shared" si="3"/>
        <v>881382528</v>
      </c>
      <c r="F128" s="6">
        <v>65.03</v>
      </c>
      <c r="G128" s="1">
        <f t="shared" si="4"/>
        <v>-16.4221535852858</v>
      </c>
    </row>
    <row r="129" spans="1:7">
      <c r="A129" t="s">
        <v>24</v>
      </c>
      <c r="B129">
        <v>2017</v>
      </c>
      <c r="C129" s="1">
        <v>80932</v>
      </c>
      <c r="D129" s="1">
        <v>12141</v>
      </c>
      <c r="E129" s="5">
        <f t="shared" si="3"/>
        <v>982595412</v>
      </c>
      <c r="F129" s="6">
        <v>67.48</v>
      </c>
      <c r="G129" s="1">
        <f t="shared" si="4"/>
        <v>-16.4938767507653</v>
      </c>
    </row>
    <row r="130" spans="1:7">
      <c r="A130" t="s">
        <v>24</v>
      </c>
      <c r="B130">
        <v>2018</v>
      </c>
      <c r="C130" s="1">
        <v>86412</v>
      </c>
      <c r="D130" s="1">
        <v>12348</v>
      </c>
      <c r="E130" s="5">
        <f t="shared" si="3"/>
        <v>1067015376</v>
      </c>
      <c r="F130" s="6">
        <v>64.43</v>
      </c>
      <c r="G130" s="1">
        <f t="shared" si="4"/>
        <v>-16.6225518565084</v>
      </c>
    </row>
    <row r="131" spans="1:7">
      <c r="A131" t="s">
        <v>24</v>
      </c>
      <c r="B131">
        <v>2019</v>
      </c>
      <c r="C131" s="1">
        <v>94172</v>
      </c>
      <c r="D131" s="1">
        <v>12489</v>
      </c>
      <c r="E131" s="5">
        <f t="shared" ref="E131:E166" si="5">C131*D131</f>
        <v>1176114108</v>
      </c>
      <c r="F131" s="6">
        <v>63.48</v>
      </c>
      <c r="G131" s="1">
        <f t="shared" ref="G131:I166" si="6">LN(F131/E131)</f>
        <v>-16.7347568166697</v>
      </c>
    </row>
    <row r="132" spans="1:7">
      <c r="A132" t="s">
        <v>24</v>
      </c>
      <c r="B132">
        <v>2020</v>
      </c>
      <c r="C132" s="1">
        <v>88210</v>
      </c>
      <c r="D132" s="1">
        <v>12624</v>
      </c>
      <c r="E132" s="5">
        <f t="shared" si="5"/>
        <v>1113563040</v>
      </c>
      <c r="F132" s="6">
        <v>161.31</v>
      </c>
      <c r="G132" s="1">
        <f t="shared" si="6"/>
        <v>-15.7475026778488</v>
      </c>
    </row>
    <row r="133" spans="1:7">
      <c r="A133" t="s">
        <v>24</v>
      </c>
      <c r="B133">
        <v>2021</v>
      </c>
      <c r="C133" s="1">
        <v>98285</v>
      </c>
      <c r="D133" s="1">
        <v>12684</v>
      </c>
      <c r="E133" s="5">
        <f t="shared" si="5"/>
        <v>1246646940</v>
      </c>
      <c r="F133" s="6">
        <v>158.08</v>
      </c>
      <c r="G133" s="1">
        <f t="shared" si="6"/>
        <v>-15.8806221020506</v>
      </c>
    </row>
    <row r="134" spans="1:7">
      <c r="A134" t="s">
        <v>24</v>
      </c>
      <c r="B134">
        <v>2022</v>
      </c>
      <c r="C134" s="1">
        <v>101905</v>
      </c>
      <c r="D134" s="1">
        <v>12657</v>
      </c>
      <c r="E134" s="5">
        <f t="shared" si="5"/>
        <v>1289811585</v>
      </c>
      <c r="F134" s="6">
        <v>161.85</v>
      </c>
      <c r="G134" s="1">
        <f t="shared" si="6"/>
        <v>-15.8910920061407</v>
      </c>
    </row>
    <row r="135" spans="1:7">
      <c r="A135" t="s">
        <v>24</v>
      </c>
      <c r="B135">
        <v>2023</v>
      </c>
      <c r="C135" s="1">
        <v>106985</v>
      </c>
      <c r="D135" s="1">
        <v>12706</v>
      </c>
      <c r="E135" s="5">
        <f t="shared" si="5"/>
        <v>1359351410</v>
      </c>
      <c r="F135" s="6">
        <v>188.07</v>
      </c>
      <c r="G135" s="1">
        <f t="shared" si="6"/>
        <v>-15.7934592845735</v>
      </c>
    </row>
    <row r="136" spans="1:7">
      <c r="A136" t="s">
        <v>24</v>
      </c>
      <c r="B136">
        <v>2024</v>
      </c>
      <c r="C136" s="1">
        <v>111146</v>
      </c>
      <c r="D136" s="1">
        <v>12780</v>
      </c>
      <c r="E136" s="5">
        <f t="shared" si="5"/>
        <v>1420445880</v>
      </c>
      <c r="F136" s="6">
        <v>170.65</v>
      </c>
      <c r="G136" s="1">
        <f t="shared" si="6"/>
        <v>-15.9346219839192</v>
      </c>
    </row>
    <row r="137" spans="1:7">
      <c r="A137" t="s">
        <v>25</v>
      </c>
      <c r="B137">
        <v>2010</v>
      </c>
      <c r="C137" s="1">
        <v>20219</v>
      </c>
      <c r="D137" s="1">
        <v>4610</v>
      </c>
      <c r="E137" s="5">
        <f t="shared" si="5"/>
        <v>93209590</v>
      </c>
      <c r="F137" s="6">
        <v>93.7</v>
      </c>
      <c r="G137" s="1">
        <f t="shared" si="6"/>
        <v>-13.8102629821136</v>
      </c>
    </row>
    <row r="138" spans="1:7">
      <c r="A138" t="s">
        <v>25</v>
      </c>
      <c r="B138">
        <v>2011</v>
      </c>
      <c r="C138" s="1">
        <v>25326</v>
      </c>
      <c r="D138" s="1">
        <v>4655</v>
      </c>
      <c r="E138" s="5">
        <f t="shared" si="5"/>
        <v>117892530</v>
      </c>
      <c r="F138" s="6">
        <v>79.33</v>
      </c>
      <c r="G138" s="1">
        <f t="shared" si="6"/>
        <v>-14.2116676374078</v>
      </c>
    </row>
    <row r="139" spans="1:7">
      <c r="A139" t="s">
        <v>25</v>
      </c>
      <c r="B139">
        <v>2012</v>
      </c>
      <c r="C139" s="1">
        <v>27952</v>
      </c>
      <c r="D139" s="1">
        <v>4694</v>
      </c>
      <c r="E139" s="5">
        <f t="shared" si="5"/>
        <v>131206688</v>
      </c>
      <c r="F139" s="6">
        <v>78.03</v>
      </c>
      <c r="G139" s="1">
        <f t="shared" si="6"/>
        <v>-14.3351910406561</v>
      </c>
    </row>
    <row r="140" spans="1:7">
      <c r="A140" t="s">
        <v>25</v>
      </c>
      <c r="B140">
        <v>2013</v>
      </c>
      <c r="C140" s="1">
        <v>30741</v>
      </c>
      <c r="D140" s="1">
        <v>4731</v>
      </c>
      <c r="E140" s="5">
        <f t="shared" si="5"/>
        <v>145435671</v>
      </c>
      <c r="F140" s="6">
        <v>75.94</v>
      </c>
      <c r="G140" s="1">
        <f t="shared" si="6"/>
        <v>-14.4653008682953</v>
      </c>
    </row>
    <row r="141" spans="1:7">
      <c r="A141" t="s">
        <v>25</v>
      </c>
      <c r="B141">
        <v>2014</v>
      </c>
      <c r="C141" s="1">
        <v>33090</v>
      </c>
      <c r="D141" s="1">
        <v>4770</v>
      </c>
      <c r="E141" s="5">
        <f t="shared" si="5"/>
        <v>157839300</v>
      </c>
      <c r="F141" s="6">
        <v>74.4</v>
      </c>
      <c r="G141" s="1">
        <f t="shared" si="6"/>
        <v>-14.567632042959</v>
      </c>
    </row>
    <row r="142" spans="1:7">
      <c r="A142" t="s">
        <v>25</v>
      </c>
      <c r="B142">
        <v>2015</v>
      </c>
      <c r="C142" s="1">
        <v>35190</v>
      </c>
      <c r="D142" s="1">
        <v>4811</v>
      </c>
      <c r="E142" s="5">
        <f t="shared" si="5"/>
        <v>169299090</v>
      </c>
      <c r="F142" s="6">
        <v>71.12</v>
      </c>
      <c r="G142" s="1">
        <f t="shared" si="6"/>
        <v>-14.6828088808094</v>
      </c>
    </row>
    <row r="143" spans="1:7">
      <c r="A143" t="s">
        <v>25</v>
      </c>
      <c r="B143">
        <v>2016</v>
      </c>
      <c r="C143" s="1">
        <v>38027</v>
      </c>
      <c r="D143" s="1">
        <v>4857</v>
      </c>
      <c r="E143" s="5">
        <f t="shared" si="5"/>
        <v>184697139</v>
      </c>
      <c r="F143" s="6">
        <v>30.55</v>
      </c>
      <c r="G143" s="1">
        <f t="shared" si="6"/>
        <v>-15.6148632694481</v>
      </c>
    </row>
    <row r="144" spans="1:7">
      <c r="A144" t="s">
        <v>25</v>
      </c>
      <c r="B144">
        <v>2017</v>
      </c>
      <c r="C144" s="1">
        <v>38102</v>
      </c>
      <c r="D144" s="1">
        <v>4907</v>
      </c>
      <c r="E144" s="5">
        <f t="shared" si="5"/>
        <v>186966514</v>
      </c>
      <c r="F144" s="6">
        <v>32.64</v>
      </c>
      <c r="G144" s="1">
        <f t="shared" si="6"/>
        <v>-15.5609015591694</v>
      </c>
    </row>
    <row r="145" spans="1:7">
      <c r="A145" t="s">
        <v>25</v>
      </c>
      <c r="B145">
        <v>2018</v>
      </c>
      <c r="C145" s="1">
        <v>41489.16522</v>
      </c>
      <c r="D145" s="1">
        <v>4947</v>
      </c>
      <c r="E145" s="5">
        <f t="shared" si="5"/>
        <v>205246900.34334</v>
      </c>
      <c r="F145" s="6">
        <v>32.17</v>
      </c>
      <c r="G145" s="1">
        <f t="shared" si="6"/>
        <v>-15.6686898630724</v>
      </c>
    </row>
    <row r="146" spans="1:7">
      <c r="A146" t="s">
        <v>25</v>
      </c>
      <c r="B146">
        <v>2019</v>
      </c>
      <c r="C146" s="1">
        <v>42964</v>
      </c>
      <c r="D146" s="1">
        <v>4982</v>
      </c>
      <c r="E146" s="5">
        <f t="shared" si="5"/>
        <v>214046648</v>
      </c>
      <c r="F146" s="6">
        <v>32.73</v>
      </c>
      <c r="G146" s="1">
        <f t="shared" si="6"/>
        <v>-15.693412442027</v>
      </c>
    </row>
    <row r="147" spans="1:7">
      <c r="A147" t="s">
        <v>25</v>
      </c>
      <c r="B147">
        <v>2020</v>
      </c>
      <c r="C147" s="1">
        <v>44309</v>
      </c>
      <c r="D147" s="1">
        <v>5019</v>
      </c>
      <c r="E147" s="5">
        <f t="shared" si="5"/>
        <v>222386871</v>
      </c>
      <c r="F147" s="6">
        <v>103.04</v>
      </c>
      <c r="G147" s="1">
        <f t="shared" si="6"/>
        <v>-14.5848118229687</v>
      </c>
    </row>
    <row r="148" spans="1:7">
      <c r="A148" t="s">
        <v>25</v>
      </c>
      <c r="B148">
        <v>2021</v>
      </c>
      <c r="C148" s="1">
        <v>49206</v>
      </c>
      <c r="D148" s="1">
        <v>5037</v>
      </c>
      <c r="E148" s="5">
        <f t="shared" si="5"/>
        <v>247850622</v>
      </c>
      <c r="F148" s="6">
        <v>95.82</v>
      </c>
      <c r="G148" s="1">
        <f t="shared" si="6"/>
        <v>-14.7658653605551</v>
      </c>
    </row>
    <row r="149" spans="1:7">
      <c r="A149" t="s">
        <v>25</v>
      </c>
      <c r="B149">
        <v>2022</v>
      </c>
      <c r="C149" s="1">
        <v>52164</v>
      </c>
      <c r="D149" s="1">
        <v>5047</v>
      </c>
      <c r="E149" s="5">
        <f t="shared" si="5"/>
        <v>263271708</v>
      </c>
      <c r="F149" s="6">
        <v>93.44</v>
      </c>
      <c r="G149" s="1">
        <f t="shared" si="6"/>
        <v>-14.8513776480371</v>
      </c>
    </row>
    <row r="150" spans="1:7">
      <c r="A150" t="s">
        <v>25</v>
      </c>
      <c r="B150">
        <v>2023</v>
      </c>
      <c r="C150" s="1">
        <v>54005</v>
      </c>
      <c r="D150" s="1">
        <v>5027</v>
      </c>
      <c r="E150" s="5">
        <f t="shared" si="5"/>
        <v>271483135</v>
      </c>
      <c r="F150" s="6">
        <v>103.53</v>
      </c>
      <c r="G150" s="1">
        <f t="shared" si="6"/>
        <v>-14.7795491517671</v>
      </c>
    </row>
    <row r="151" spans="1:7">
      <c r="A151" t="s">
        <v>25</v>
      </c>
      <c r="B151">
        <v>2024</v>
      </c>
      <c r="C151" s="1">
        <v>57071</v>
      </c>
      <c r="D151" s="1">
        <v>5013</v>
      </c>
      <c r="E151" s="5">
        <f t="shared" si="5"/>
        <v>286096923</v>
      </c>
      <c r="F151" s="6">
        <v>100.59</v>
      </c>
      <c r="G151" s="1">
        <f t="shared" si="6"/>
        <v>-14.8607883538355</v>
      </c>
    </row>
    <row r="152" spans="1:7">
      <c r="A152" t="s">
        <v>26</v>
      </c>
      <c r="B152">
        <v>2010</v>
      </c>
      <c r="C152" s="1">
        <v>23831</v>
      </c>
      <c r="D152" s="1">
        <v>869</v>
      </c>
      <c r="E152" s="5">
        <f t="shared" si="5"/>
        <v>20709139</v>
      </c>
      <c r="F152" s="6">
        <v>9.2</v>
      </c>
      <c r="G152" s="1">
        <f t="shared" si="6"/>
        <v>-14.6268821743338</v>
      </c>
    </row>
    <row r="153" spans="1:7">
      <c r="A153" t="s">
        <v>26</v>
      </c>
      <c r="B153">
        <v>2011</v>
      </c>
      <c r="C153" s="1">
        <v>28898</v>
      </c>
      <c r="D153" s="1">
        <v>890</v>
      </c>
      <c r="E153" s="5">
        <f t="shared" si="5"/>
        <v>25719220</v>
      </c>
      <c r="F153" s="6">
        <v>19.99</v>
      </c>
      <c r="G153" s="1">
        <f t="shared" si="6"/>
        <v>-14.0675169817674</v>
      </c>
    </row>
    <row r="154" spans="1:7">
      <c r="A154" t="s">
        <v>26</v>
      </c>
      <c r="B154">
        <v>2012</v>
      </c>
      <c r="C154" s="1">
        <v>32377</v>
      </c>
      <c r="D154" s="1">
        <v>910</v>
      </c>
      <c r="E154" s="5">
        <f t="shared" si="5"/>
        <v>29463070</v>
      </c>
      <c r="F154" s="6">
        <v>19.74</v>
      </c>
      <c r="G154" s="1">
        <f t="shared" si="6"/>
        <v>-14.2160011386611</v>
      </c>
    </row>
    <row r="155" spans="1:7">
      <c r="A155" t="s">
        <v>26</v>
      </c>
      <c r="B155">
        <v>2013</v>
      </c>
      <c r="C155" s="1">
        <v>35663</v>
      </c>
      <c r="D155" s="1">
        <v>920</v>
      </c>
      <c r="E155" s="5">
        <f t="shared" si="5"/>
        <v>32809960</v>
      </c>
      <c r="F155" s="6">
        <v>19.44</v>
      </c>
      <c r="G155" s="1">
        <f t="shared" si="6"/>
        <v>-14.3389098867637</v>
      </c>
    </row>
    <row r="156" spans="1:7">
      <c r="A156" t="s">
        <v>26</v>
      </c>
      <c r="B156">
        <v>2014</v>
      </c>
      <c r="C156" s="1">
        <v>38924</v>
      </c>
      <c r="D156" s="1">
        <v>936</v>
      </c>
      <c r="E156" s="5">
        <f t="shared" si="5"/>
        <v>36432864</v>
      </c>
      <c r="F156" s="6">
        <v>19.6</v>
      </c>
      <c r="G156" s="1">
        <f t="shared" si="6"/>
        <v>-14.435452216183</v>
      </c>
    </row>
    <row r="157" spans="1:7">
      <c r="A157" t="s">
        <v>26</v>
      </c>
      <c r="B157">
        <v>2015</v>
      </c>
      <c r="C157" s="1">
        <v>40818</v>
      </c>
      <c r="D157" s="1">
        <v>945</v>
      </c>
      <c r="E157" s="5">
        <f t="shared" si="5"/>
        <v>38573010</v>
      </c>
      <c r="F157" s="6">
        <v>18.79</v>
      </c>
      <c r="G157" s="1">
        <f t="shared" si="6"/>
        <v>-14.5347385536415</v>
      </c>
    </row>
    <row r="158" spans="1:7">
      <c r="A158" t="s">
        <v>26</v>
      </c>
      <c r="B158">
        <v>2016</v>
      </c>
      <c r="C158" s="1">
        <v>44347</v>
      </c>
      <c r="D158" s="1">
        <v>957</v>
      </c>
      <c r="E158" s="5">
        <f t="shared" si="5"/>
        <v>42440079</v>
      </c>
      <c r="F158" s="6">
        <v>4.9</v>
      </c>
      <c r="G158" s="1">
        <f t="shared" si="6"/>
        <v>-15.9743685280432</v>
      </c>
    </row>
    <row r="159" spans="1:7">
      <c r="A159" t="s">
        <v>26</v>
      </c>
      <c r="B159">
        <v>2017</v>
      </c>
      <c r="C159" s="1">
        <v>48430</v>
      </c>
      <c r="D159" s="1">
        <v>972</v>
      </c>
      <c r="E159" s="5">
        <f t="shared" si="5"/>
        <v>47073960</v>
      </c>
      <c r="F159" s="6">
        <v>5.15</v>
      </c>
      <c r="G159" s="1">
        <f t="shared" si="6"/>
        <v>-16.0282338251821</v>
      </c>
    </row>
    <row r="160" spans="1:7">
      <c r="A160" t="s">
        <v>26</v>
      </c>
      <c r="B160">
        <v>2018</v>
      </c>
      <c r="C160" s="1">
        <v>51955.29225</v>
      </c>
      <c r="D160" s="1">
        <v>982</v>
      </c>
      <c r="E160" s="5">
        <f t="shared" si="5"/>
        <v>51020096.9895</v>
      </c>
      <c r="F160" s="6">
        <v>4.95</v>
      </c>
      <c r="G160" s="1">
        <f t="shared" si="6"/>
        <v>-16.1483425951049</v>
      </c>
    </row>
    <row r="161" spans="1:7">
      <c r="A161" t="s">
        <v>26</v>
      </c>
      <c r="B161">
        <v>2019</v>
      </c>
      <c r="C161" s="1">
        <v>56506.83</v>
      </c>
      <c r="D161" s="1">
        <v>995</v>
      </c>
      <c r="E161" s="5">
        <f t="shared" si="5"/>
        <v>56224295.85</v>
      </c>
      <c r="F161" s="6">
        <v>4.49</v>
      </c>
      <c r="G161" s="1">
        <f t="shared" si="6"/>
        <v>-16.3430068301887</v>
      </c>
    </row>
    <row r="162" spans="1:7">
      <c r="A162" t="s">
        <v>26</v>
      </c>
      <c r="B162">
        <v>2020</v>
      </c>
      <c r="C162" s="1">
        <v>55131</v>
      </c>
      <c r="D162" s="1">
        <v>1012</v>
      </c>
      <c r="E162" s="5">
        <f t="shared" si="5"/>
        <v>55792572</v>
      </c>
      <c r="F162" s="6">
        <v>17.28</v>
      </c>
      <c r="G162" s="1">
        <f t="shared" si="6"/>
        <v>-14.987601536835</v>
      </c>
    </row>
    <row r="163" spans="1:7">
      <c r="A163" t="s">
        <v>26</v>
      </c>
      <c r="B163">
        <v>2021</v>
      </c>
      <c r="C163" s="1">
        <v>63707</v>
      </c>
      <c r="D163" s="1">
        <v>1020</v>
      </c>
      <c r="E163" s="5">
        <f t="shared" si="5"/>
        <v>64981140</v>
      </c>
      <c r="F163" s="6">
        <v>17.17</v>
      </c>
      <c r="G163" s="1">
        <f t="shared" si="6"/>
        <v>-15.1464439570016</v>
      </c>
    </row>
    <row r="164" spans="1:7">
      <c r="A164" t="s">
        <v>26</v>
      </c>
      <c r="B164">
        <v>2022</v>
      </c>
      <c r="C164" s="1">
        <v>66602</v>
      </c>
      <c r="D164" s="1">
        <v>1027</v>
      </c>
      <c r="E164" s="5">
        <f t="shared" si="5"/>
        <v>68400254</v>
      </c>
      <c r="F164" s="6">
        <v>18.42</v>
      </c>
      <c r="G164" s="1">
        <f t="shared" si="6"/>
        <v>-15.127450065209</v>
      </c>
    </row>
    <row r="165" spans="1:7">
      <c r="A165" t="s">
        <v>26</v>
      </c>
      <c r="B165">
        <v>2023</v>
      </c>
      <c r="C165" s="1">
        <v>72958</v>
      </c>
      <c r="D165" s="1">
        <v>1043</v>
      </c>
      <c r="E165" s="5">
        <f t="shared" si="5"/>
        <v>76095194</v>
      </c>
      <c r="F165" s="6">
        <v>19.53</v>
      </c>
      <c r="G165" s="1">
        <f t="shared" si="6"/>
        <v>-15.175543922204</v>
      </c>
    </row>
    <row r="166" spans="1:7">
      <c r="A166" t="s">
        <v>26</v>
      </c>
      <c r="B166">
        <v>2024</v>
      </c>
      <c r="C166" s="1">
        <v>75903</v>
      </c>
      <c r="D166" s="1">
        <v>1048</v>
      </c>
      <c r="E166" s="5">
        <f t="shared" si="5"/>
        <v>79546344</v>
      </c>
      <c r="F166" s="6">
        <v>17.6</v>
      </c>
      <c r="G166" s="1">
        <f t="shared" si="6"/>
        <v>-15.3239514511312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"/>
  <sheetViews>
    <sheetView tabSelected="1" workbookViewId="0">
      <selection activeCell="L12" sqref="L12"/>
    </sheetView>
  </sheetViews>
  <sheetFormatPr defaultColWidth="9" defaultRowHeight="12.5"/>
  <cols>
    <col min="5" max="5" width="11.3636363636364" customWidth="1"/>
    <col min="6" max="6" width="21.6363636363636" customWidth="1"/>
    <col min="7" max="7" width="21.7272727272727" customWidth="1"/>
    <col min="8" max="8" width="22.9090909090909" style="1" customWidth="1"/>
    <col min="10" max="10" width="13.7272727272727" customWidth="1"/>
  </cols>
  <sheetData>
    <row r="1" ht="39" spans="1:10">
      <c r="A1" s="2" t="s">
        <v>0</v>
      </c>
      <c r="B1" s="2" t="s">
        <v>1</v>
      </c>
      <c r="C1" s="2" t="s">
        <v>7</v>
      </c>
      <c r="D1" s="2" t="s">
        <v>27</v>
      </c>
      <c r="E1" s="3" t="s">
        <v>30</v>
      </c>
      <c r="F1" s="1" t="s">
        <v>11</v>
      </c>
      <c r="G1" t="s">
        <v>31</v>
      </c>
      <c r="H1" s="4" t="s">
        <v>32</v>
      </c>
    </row>
    <row r="2" spans="1:10">
      <c r="A2" s="1" t="s">
        <v>16</v>
      </c>
      <c r="B2" s="1">
        <v>2010</v>
      </c>
      <c r="C2" s="1">
        <v>72994</v>
      </c>
      <c r="D2" s="1">
        <v>1299</v>
      </c>
      <c r="E2" s="5">
        <v>94819206</v>
      </c>
      <c r="F2" s="6">
        <v>13.2</v>
      </c>
      <c r="G2" s="1">
        <v>-15.7872657120501</v>
      </c>
      <c r="J2" s="7"/>
    </row>
    <row r="3" spans="1:10">
      <c r="A3" s="1" t="s">
        <v>16</v>
      </c>
      <c r="B3" s="1">
        <v>2011</v>
      </c>
      <c r="C3" s="1">
        <v>85213</v>
      </c>
      <c r="D3" s="1">
        <v>1341</v>
      </c>
      <c r="E3" s="5">
        <v>114270633</v>
      </c>
      <c r="F3" s="6">
        <v>23.58</v>
      </c>
      <c r="G3" s="1">
        <v>-15.39368127151</v>
      </c>
      <c r="H3" s="1">
        <v>16.46835</v>
      </c>
    </row>
    <row r="4" spans="1:10">
      <c r="A4" s="1" t="s">
        <v>16</v>
      </c>
      <c r="B4" s="1">
        <v>2012</v>
      </c>
      <c r="C4" s="1">
        <v>93173</v>
      </c>
      <c r="D4" s="1">
        <v>1378</v>
      </c>
      <c r="E4" s="5">
        <v>128392394</v>
      </c>
      <c r="F4" s="6">
        <v>22.94</v>
      </c>
      <c r="G4" s="1">
        <v>-15.5377195990042</v>
      </c>
      <c r="H4" s="1">
        <v>15.28485</v>
      </c>
    </row>
    <row r="5" spans="1:10">
      <c r="A5" s="1" t="s">
        <v>16</v>
      </c>
      <c r="B5" s="1">
        <v>2013</v>
      </c>
      <c r="C5" s="1">
        <v>100105</v>
      </c>
      <c r="D5" s="1">
        <v>1410</v>
      </c>
      <c r="E5" s="5">
        <v>141148050</v>
      </c>
      <c r="F5" s="6">
        <v>22.15</v>
      </c>
      <c r="G5" s="1">
        <v>-15.6674824009869</v>
      </c>
      <c r="H5" s="1">
        <v>12.55586</v>
      </c>
    </row>
    <row r="6" spans="1:10">
      <c r="A6" s="1" t="s">
        <v>16</v>
      </c>
      <c r="B6" s="1">
        <v>2014</v>
      </c>
      <c r="C6" s="1">
        <v>105231</v>
      </c>
      <c r="D6" s="1">
        <v>1429</v>
      </c>
      <c r="E6" s="5">
        <v>150375099</v>
      </c>
      <c r="F6" s="6">
        <v>21.43</v>
      </c>
      <c r="G6" s="1">
        <v>-15.7638515811275</v>
      </c>
      <c r="H6" s="1">
        <v>14.83658</v>
      </c>
    </row>
    <row r="7" spans="1:10">
      <c r="A7" s="1" t="s">
        <v>16</v>
      </c>
      <c r="B7" s="1">
        <v>2015</v>
      </c>
      <c r="C7" s="1">
        <v>107960.0883</v>
      </c>
      <c r="D7" s="1">
        <v>1439</v>
      </c>
      <c r="E7" s="5">
        <v>155354567.0637</v>
      </c>
      <c r="F7" s="6">
        <v>20.91</v>
      </c>
      <c r="G7" s="1">
        <v>-15.8209930784739</v>
      </c>
      <c r="H7" s="1">
        <v>22.1</v>
      </c>
    </row>
    <row r="8" spans="1:10">
      <c r="A8" s="1" t="s">
        <v>16</v>
      </c>
      <c r="B8" s="1">
        <v>2016</v>
      </c>
      <c r="C8" s="1">
        <v>115053</v>
      </c>
      <c r="D8" s="1">
        <v>1443</v>
      </c>
      <c r="E8" s="5">
        <v>166021479</v>
      </c>
      <c r="F8" s="6">
        <v>4.8</v>
      </c>
      <c r="G8" s="1">
        <v>-17.3590118116029</v>
      </c>
      <c r="H8" s="1">
        <v>24</v>
      </c>
    </row>
    <row r="9" spans="1:10">
      <c r="A9" s="1" t="s">
        <v>16</v>
      </c>
      <c r="B9" s="1">
        <v>2017</v>
      </c>
      <c r="C9" s="1">
        <v>118943.5683</v>
      </c>
      <c r="D9" s="1">
        <v>1410</v>
      </c>
      <c r="E9" s="5">
        <v>167710431.303</v>
      </c>
      <c r="F9" s="6">
        <v>4.43</v>
      </c>
      <c r="G9" s="1">
        <v>-17.4493498429665</v>
      </c>
      <c r="H9" s="1">
        <v>10.4</v>
      </c>
    </row>
    <row r="10" spans="1:10">
      <c r="A10" s="1" t="s">
        <v>16</v>
      </c>
      <c r="B10" s="1">
        <v>2018</v>
      </c>
      <c r="C10" s="1">
        <v>120710.8019</v>
      </c>
      <c r="D10" s="1">
        <v>1383</v>
      </c>
      <c r="E10" s="5">
        <v>166943039.0277</v>
      </c>
      <c r="F10" s="6">
        <v>4.17</v>
      </c>
      <c r="G10" s="1">
        <v>-17.5052471927216</v>
      </c>
      <c r="H10" s="1">
        <v>7.8305</v>
      </c>
    </row>
    <row r="11" spans="1:10">
      <c r="A11" s="1" t="s">
        <v>16</v>
      </c>
      <c r="B11" s="1">
        <v>2019</v>
      </c>
      <c r="C11" s="1">
        <v>90370.63</v>
      </c>
      <c r="D11" s="1">
        <v>1385</v>
      </c>
      <c r="E11" s="5">
        <v>125163322.55</v>
      </c>
      <c r="F11" s="6">
        <v>3.78</v>
      </c>
      <c r="G11" s="1">
        <v>-17.3154060132017</v>
      </c>
      <c r="H11" s="1">
        <v>13.747225</v>
      </c>
    </row>
    <row r="12" spans="1:10">
      <c r="A12" s="1" t="s">
        <v>16</v>
      </c>
      <c r="B12" s="1">
        <v>2020</v>
      </c>
      <c r="C12" s="1">
        <v>101614</v>
      </c>
      <c r="D12" s="1">
        <v>1387</v>
      </c>
      <c r="E12" s="5">
        <v>140938618</v>
      </c>
      <c r="F12" s="6">
        <v>15.63</v>
      </c>
      <c r="G12" s="1">
        <v>-16.0146428757907</v>
      </c>
      <c r="H12" s="1">
        <v>12.5944</v>
      </c>
    </row>
    <row r="13" spans="1:10">
      <c r="A13" s="1" t="s">
        <v>16</v>
      </c>
      <c r="B13" s="1">
        <v>2021</v>
      </c>
      <c r="C13" s="1">
        <v>113732</v>
      </c>
      <c r="D13" s="1">
        <v>1373</v>
      </c>
      <c r="E13" s="5">
        <v>156154036</v>
      </c>
      <c r="F13" s="6">
        <v>15.52</v>
      </c>
      <c r="G13" s="1">
        <v>-16.1242239735463</v>
      </c>
      <c r="H13" s="1">
        <v>7.4511</v>
      </c>
    </row>
    <row r="14" spans="1:10">
      <c r="A14" s="1" t="s">
        <v>16</v>
      </c>
      <c r="B14" s="1">
        <v>2022</v>
      </c>
      <c r="C14" s="1">
        <v>119235</v>
      </c>
      <c r="D14" s="1">
        <v>1363</v>
      </c>
      <c r="E14" s="5">
        <v>162517305</v>
      </c>
      <c r="F14" s="6">
        <v>15.2</v>
      </c>
      <c r="G14" s="1">
        <v>-16.1849996185196</v>
      </c>
      <c r="H14" s="1">
        <v>1.00756</v>
      </c>
    </row>
    <row r="15" spans="1:10">
      <c r="A15" s="1" t="s">
        <v>16</v>
      </c>
      <c r="B15" s="1">
        <v>2023</v>
      </c>
      <c r="C15" s="1">
        <v>122752</v>
      </c>
      <c r="D15" s="1">
        <v>1364</v>
      </c>
      <c r="E15" s="5">
        <v>167433728</v>
      </c>
      <c r="F15" s="6">
        <v>17.64</v>
      </c>
      <c r="G15" s="1">
        <v>-16.0659291266278</v>
      </c>
      <c r="H15" s="1">
        <v>5.14545</v>
      </c>
    </row>
    <row r="16" spans="1:10">
      <c r="A16" s="1" t="s">
        <v>16</v>
      </c>
      <c r="B16" s="1">
        <v>2024</v>
      </c>
      <c r="C16" s="1">
        <v>132143</v>
      </c>
      <c r="D16" s="1">
        <v>1364</v>
      </c>
      <c r="E16" s="5">
        <v>180243052</v>
      </c>
      <c r="F16" s="6">
        <v>18.92</v>
      </c>
      <c r="G16" s="1">
        <v>-16.0695972232994</v>
      </c>
      <c r="H16" s="1">
        <v>14.13825</v>
      </c>
      <c r="I16" s="1"/>
    </row>
    <row r="17" spans="1:9">
      <c r="A17" s="1" t="s">
        <v>17</v>
      </c>
      <c r="B17" s="1">
        <v>2010</v>
      </c>
      <c r="C17" s="1">
        <v>28668</v>
      </c>
      <c r="D17" s="1">
        <v>7194</v>
      </c>
      <c r="E17" s="5">
        <v>206237592</v>
      </c>
      <c r="F17" s="6">
        <v>54.6</v>
      </c>
      <c r="G17" s="1">
        <v>-15.1445055386185</v>
      </c>
    </row>
    <row r="18" spans="1:9">
      <c r="A18" s="1" t="s">
        <v>17</v>
      </c>
      <c r="B18" s="1">
        <v>2011</v>
      </c>
      <c r="C18" s="1">
        <v>33969</v>
      </c>
      <c r="D18" s="1">
        <v>7232</v>
      </c>
      <c r="E18" s="5">
        <v>245663808</v>
      </c>
      <c r="F18" s="6">
        <v>138.88</v>
      </c>
      <c r="G18" s="1">
        <v>-14.3858642741421</v>
      </c>
      <c r="H18" s="1">
        <v>10.85878</v>
      </c>
    </row>
    <row r="19" spans="1:9">
      <c r="A19" s="1" t="s">
        <v>17</v>
      </c>
      <c r="B19" s="1">
        <v>2012</v>
      </c>
      <c r="C19" s="1">
        <v>36584</v>
      </c>
      <c r="D19" s="1">
        <v>7262</v>
      </c>
      <c r="E19" s="5">
        <v>265673008</v>
      </c>
      <c r="F19" s="6">
        <v>134.91</v>
      </c>
      <c r="G19" s="1">
        <v>-14.4931689278614</v>
      </c>
      <c r="H19" s="1">
        <v>24.33986</v>
      </c>
    </row>
    <row r="20" spans="1:9">
      <c r="A20" s="1" t="s">
        <v>17</v>
      </c>
      <c r="B20" s="1">
        <v>2013</v>
      </c>
      <c r="C20" s="1">
        <v>38909</v>
      </c>
      <c r="D20" s="1">
        <v>7288</v>
      </c>
      <c r="E20" s="5">
        <v>283568792</v>
      </c>
      <c r="F20" s="6">
        <v>130.99</v>
      </c>
      <c r="G20" s="1">
        <v>-14.5878443198445</v>
      </c>
      <c r="H20" s="1">
        <v>23.62897</v>
      </c>
    </row>
    <row r="21" spans="1:9">
      <c r="A21" s="1" t="s">
        <v>17</v>
      </c>
      <c r="B21" s="1">
        <v>2014</v>
      </c>
      <c r="C21" s="1">
        <v>39984</v>
      </c>
      <c r="D21" s="1">
        <v>7323</v>
      </c>
      <c r="E21" s="5">
        <v>292802832</v>
      </c>
      <c r="F21" s="6">
        <v>126.85</v>
      </c>
      <c r="G21" s="1">
        <v>-14.6520047260905</v>
      </c>
      <c r="H21" s="1">
        <v>51.17692</v>
      </c>
    </row>
    <row r="22" spans="1:9">
      <c r="A22" s="1" t="s">
        <v>17</v>
      </c>
      <c r="B22" s="1">
        <v>2015</v>
      </c>
      <c r="C22" s="1">
        <v>40255</v>
      </c>
      <c r="D22" s="1">
        <v>7345</v>
      </c>
      <c r="E22" s="5">
        <v>295672975</v>
      </c>
      <c r="F22" s="6">
        <v>120.81</v>
      </c>
      <c r="G22" s="1">
        <v>-14.7105455238106</v>
      </c>
      <c r="H22" s="1">
        <v>89</v>
      </c>
    </row>
    <row r="23" spans="1:9">
      <c r="A23" s="1" t="s">
        <v>17</v>
      </c>
      <c r="B23" s="1">
        <v>2016</v>
      </c>
      <c r="C23" s="1">
        <v>43062</v>
      </c>
      <c r="D23" s="1">
        <v>7375</v>
      </c>
      <c r="E23" s="5">
        <v>317582250</v>
      </c>
      <c r="F23" s="6">
        <v>25.24</v>
      </c>
      <c r="G23" s="1">
        <v>-16.3478173601931</v>
      </c>
      <c r="H23" s="1">
        <v>54.2</v>
      </c>
    </row>
    <row r="24" spans="1:9">
      <c r="A24" s="1" t="s">
        <v>17</v>
      </c>
      <c r="B24" s="1">
        <v>2017</v>
      </c>
      <c r="C24" s="1">
        <v>45387</v>
      </c>
      <c r="D24" s="1">
        <v>7409</v>
      </c>
      <c r="E24" s="5">
        <v>336272283</v>
      </c>
      <c r="F24" s="6">
        <v>27.61</v>
      </c>
      <c r="G24" s="1">
        <v>-16.3152537298875</v>
      </c>
      <c r="H24" s="1">
        <v>24.8</v>
      </c>
    </row>
    <row r="25" spans="1:9">
      <c r="A25" s="1" t="s">
        <v>17</v>
      </c>
      <c r="B25" s="1">
        <v>2018</v>
      </c>
      <c r="C25" s="1">
        <v>47772.22068</v>
      </c>
      <c r="D25" s="1">
        <v>7426</v>
      </c>
      <c r="E25" s="5">
        <v>354756510.76968</v>
      </c>
      <c r="F25" s="6">
        <v>23.81</v>
      </c>
      <c r="G25" s="1">
        <v>-16.5168365664583</v>
      </c>
      <c r="H25" s="1">
        <v>34.27381</v>
      </c>
    </row>
    <row r="26" spans="1:9">
      <c r="A26" s="1" t="s">
        <v>17</v>
      </c>
      <c r="B26" s="1">
        <v>2019</v>
      </c>
      <c r="C26" s="1">
        <v>46347.89</v>
      </c>
      <c r="D26" s="1">
        <v>7447</v>
      </c>
      <c r="E26" s="5">
        <v>345152736.83</v>
      </c>
      <c r="F26" s="6">
        <v>22.38</v>
      </c>
      <c r="G26" s="1">
        <v>-16.5513298895916</v>
      </c>
      <c r="H26" s="1">
        <v>35.33644</v>
      </c>
    </row>
    <row r="27" spans="1:9">
      <c r="A27" s="1" t="s">
        <v>17</v>
      </c>
      <c r="B27" s="1">
        <v>2020</v>
      </c>
      <c r="C27" s="1">
        <v>48564</v>
      </c>
      <c r="D27" s="1">
        <v>7464</v>
      </c>
      <c r="E27" s="5">
        <v>362481696</v>
      </c>
      <c r="F27" s="6">
        <v>127.42</v>
      </c>
      <c r="G27" s="1">
        <v>-14.8609958205027</v>
      </c>
      <c r="H27" s="1">
        <v>37.38709</v>
      </c>
    </row>
    <row r="28" spans="1:9">
      <c r="A28" s="1" t="s">
        <v>17</v>
      </c>
      <c r="B28" s="1">
        <v>2021</v>
      </c>
      <c r="C28" s="1">
        <v>54172</v>
      </c>
      <c r="D28" s="1">
        <v>7448</v>
      </c>
      <c r="E28" s="5">
        <v>403473056</v>
      </c>
      <c r="F28" s="6">
        <v>153.53</v>
      </c>
      <c r="G28" s="1">
        <v>-14.7817242800614</v>
      </c>
      <c r="H28" s="1">
        <v>12.9336</v>
      </c>
    </row>
    <row r="29" spans="1:9">
      <c r="A29" s="1" t="s">
        <v>17</v>
      </c>
      <c r="B29" s="1">
        <v>2022</v>
      </c>
      <c r="C29" s="1">
        <v>56995</v>
      </c>
      <c r="D29" s="1">
        <v>7420</v>
      </c>
      <c r="E29" s="5">
        <v>422902900</v>
      </c>
      <c r="F29" s="6">
        <v>152.78</v>
      </c>
      <c r="G29" s="1">
        <v>-14.8336541817191</v>
      </c>
      <c r="H29" s="1">
        <v>9.55484</v>
      </c>
    </row>
    <row r="30" spans="1:9">
      <c r="A30" s="1" t="s">
        <v>17</v>
      </c>
      <c r="B30" s="1">
        <v>2023</v>
      </c>
      <c r="C30" s="1">
        <v>59332</v>
      </c>
      <c r="D30" s="1">
        <v>7393</v>
      </c>
      <c r="E30" s="5">
        <v>438641476</v>
      </c>
      <c r="F30" s="6">
        <v>159.31</v>
      </c>
      <c r="G30" s="1">
        <v>-14.8283409644158</v>
      </c>
      <c r="H30" s="1">
        <v>17.0349</v>
      </c>
    </row>
    <row r="31" spans="1:9">
      <c r="A31" s="1" t="s">
        <v>17</v>
      </c>
      <c r="B31" s="1">
        <v>2024</v>
      </c>
      <c r="C31" s="1">
        <v>64352</v>
      </c>
      <c r="D31" s="1">
        <v>7378</v>
      </c>
      <c r="E31" s="5">
        <v>474789056</v>
      </c>
      <c r="F31" s="6">
        <v>153.61</v>
      </c>
      <c r="G31" s="1">
        <v>-14.9439642479679</v>
      </c>
      <c r="H31" s="1">
        <v>22.80009</v>
      </c>
      <c r="I31" s="1"/>
    </row>
    <row r="32" spans="1:9">
      <c r="A32" s="1" t="s">
        <v>18</v>
      </c>
      <c r="B32" s="1">
        <v>2010</v>
      </c>
      <c r="C32" s="1">
        <v>42355</v>
      </c>
      <c r="D32" s="1">
        <v>4375</v>
      </c>
      <c r="E32" s="5">
        <v>185303125</v>
      </c>
      <c r="F32" s="6">
        <v>54.2</v>
      </c>
      <c r="G32" s="1">
        <v>-15.0448226472118</v>
      </c>
    </row>
    <row r="33" spans="1:9">
      <c r="A33" s="1" t="s">
        <v>18</v>
      </c>
      <c r="B33" s="1">
        <v>2011</v>
      </c>
      <c r="C33" s="1">
        <v>50760</v>
      </c>
      <c r="D33" s="1">
        <v>4379</v>
      </c>
      <c r="E33" s="5">
        <v>222278040</v>
      </c>
      <c r="F33" s="6">
        <v>134.34</v>
      </c>
      <c r="G33" s="1">
        <v>-14.319065688791</v>
      </c>
      <c r="H33" s="1">
        <v>14.77079</v>
      </c>
    </row>
    <row r="34" spans="1:9">
      <c r="A34" s="1" t="s">
        <v>18</v>
      </c>
      <c r="B34" s="1">
        <v>2012</v>
      </c>
      <c r="C34" s="1">
        <v>56649</v>
      </c>
      <c r="D34" s="1">
        <v>4375</v>
      </c>
      <c r="E34" s="5">
        <v>247839375</v>
      </c>
      <c r="F34" s="6">
        <v>130.59</v>
      </c>
      <c r="G34" s="1">
        <v>-14.4562287686091</v>
      </c>
      <c r="H34" s="1">
        <v>11.60318</v>
      </c>
    </row>
    <row r="35" spans="1:9">
      <c r="A35" s="1" t="s">
        <v>18</v>
      </c>
      <c r="B35" s="1">
        <v>2013</v>
      </c>
      <c r="C35" s="1">
        <v>61996</v>
      </c>
      <c r="D35" s="1">
        <v>4365</v>
      </c>
      <c r="E35" s="5">
        <v>270612540</v>
      </c>
      <c r="F35" s="6">
        <v>125.26</v>
      </c>
      <c r="G35" s="1">
        <v>-14.5858070369934</v>
      </c>
      <c r="H35" s="1">
        <v>11.94474</v>
      </c>
    </row>
    <row r="36" spans="1:9">
      <c r="A36" s="1" t="s">
        <v>18</v>
      </c>
      <c r="B36" s="1">
        <v>2014</v>
      </c>
      <c r="C36" s="1">
        <v>65201</v>
      </c>
      <c r="D36" s="1">
        <v>4358</v>
      </c>
      <c r="E36" s="5">
        <v>284145958</v>
      </c>
      <c r="F36" s="6">
        <v>121.7</v>
      </c>
      <c r="G36" s="1">
        <v>-14.6634396007315</v>
      </c>
      <c r="H36" s="1">
        <v>27.69075</v>
      </c>
    </row>
    <row r="37" spans="1:9">
      <c r="A37" s="1" t="s">
        <v>18</v>
      </c>
      <c r="B37" s="1">
        <v>2015</v>
      </c>
      <c r="C37" s="1">
        <v>65354.4122</v>
      </c>
      <c r="D37" s="1">
        <v>4338</v>
      </c>
      <c r="E37" s="5">
        <v>283507440.1236</v>
      </c>
      <c r="F37" s="6">
        <v>116.75</v>
      </c>
      <c r="G37" s="1">
        <v>-14.7027140280609</v>
      </c>
      <c r="H37" s="1">
        <v>38.2</v>
      </c>
    </row>
    <row r="38" spans="1:9">
      <c r="A38" s="1" t="s">
        <v>18</v>
      </c>
      <c r="B38" s="1">
        <v>2016</v>
      </c>
      <c r="C38" s="1">
        <v>50791</v>
      </c>
      <c r="D38" s="1">
        <v>4327</v>
      </c>
      <c r="E38" s="5">
        <v>219772657</v>
      </c>
      <c r="F38" s="6">
        <v>16.67</v>
      </c>
      <c r="G38" s="1">
        <v>-16.3944934959788</v>
      </c>
      <c r="H38" s="1">
        <v>19</v>
      </c>
    </row>
    <row r="39" spans="1:9">
      <c r="A39" s="1" t="s">
        <v>18</v>
      </c>
      <c r="B39" s="1">
        <v>2017</v>
      </c>
      <c r="C39" s="1">
        <v>53526.65444</v>
      </c>
      <c r="D39" s="1">
        <v>4312</v>
      </c>
      <c r="E39" s="5">
        <v>230806933.94528</v>
      </c>
      <c r="F39" s="6">
        <v>16.3</v>
      </c>
      <c r="G39" s="1">
        <v>-16.4659270274247</v>
      </c>
      <c r="H39" s="1">
        <v>19.4</v>
      </c>
    </row>
    <row r="40" spans="1:9">
      <c r="A40" s="1" t="s">
        <v>18</v>
      </c>
      <c r="B40" s="1">
        <v>2018</v>
      </c>
      <c r="C40" s="1">
        <v>58007.51578</v>
      </c>
      <c r="D40" s="1">
        <v>4291</v>
      </c>
      <c r="E40" s="5">
        <v>248910250.21198</v>
      </c>
      <c r="F40" s="6">
        <v>13.46</v>
      </c>
      <c r="G40" s="1">
        <v>-16.7328806243222</v>
      </c>
      <c r="H40" s="1">
        <v>13.04705</v>
      </c>
    </row>
    <row r="41" spans="1:9">
      <c r="A41" s="1" t="s">
        <v>18</v>
      </c>
      <c r="B41" s="1">
        <v>2019</v>
      </c>
      <c r="C41" s="1">
        <v>57191</v>
      </c>
      <c r="D41" s="1">
        <v>4277</v>
      </c>
      <c r="E41" s="5">
        <v>244605907</v>
      </c>
      <c r="F41" s="6">
        <v>13.11</v>
      </c>
      <c r="G41" s="1">
        <v>-16.7417836327822</v>
      </c>
      <c r="H41" s="1">
        <v>11.42304</v>
      </c>
    </row>
    <row r="42" spans="1:9">
      <c r="A42" s="1" t="s">
        <v>18</v>
      </c>
      <c r="B42" s="1">
        <v>2020</v>
      </c>
      <c r="C42" s="1">
        <v>58872</v>
      </c>
      <c r="D42" s="1">
        <v>4255</v>
      </c>
      <c r="E42" s="5">
        <v>250500360</v>
      </c>
      <c r="F42" s="6">
        <v>124.75</v>
      </c>
      <c r="G42" s="1">
        <v>-14.5126591809823</v>
      </c>
      <c r="H42" s="1">
        <v>12.15472</v>
      </c>
    </row>
    <row r="43" spans="1:9">
      <c r="A43" s="1" t="s">
        <v>18</v>
      </c>
      <c r="B43" s="1">
        <v>2021</v>
      </c>
      <c r="C43" s="1">
        <v>65026</v>
      </c>
      <c r="D43" s="1">
        <v>4229</v>
      </c>
      <c r="E43" s="5">
        <v>274994954</v>
      </c>
      <c r="F43" s="6">
        <v>119.86</v>
      </c>
      <c r="G43" s="1">
        <v>-14.6459389113416</v>
      </c>
      <c r="H43" s="1">
        <v>9.802</v>
      </c>
    </row>
    <row r="44" spans="1:9">
      <c r="A44" s="1" t="s">
        <v>18</v>
      </c>
      <c r="B44" s="1">
        <v>2022</v>
      </c>
      <c r="C44" s="1">
        <v>68775</v>
      </c>
      <c r="D44" s="1">
        <v>4197</v>
      </c>
      <c r="E44" s="5">
        <v>288648675</v>
      </c>
      <c r="F44" s="6">
        <v>121.45</v>
      </c>
      <c r="G44" s="1">
        <v>-14.6812181936782</v>
      </c>
      <c r="H44" s="1">
        <v>12.07588</v>
      </c>
    </row>
    <row r="45" spans="1:9">
      <c r="A45" s="1" t="s">
        <v>18</v>
      </c>
      <c r="B45" s="1">
        <v>2023</v>
      </c>
      <c r="C45" s="1">
        <v>72107</v>
      </c>
      <c r="D45" s="1">
        <v>4182</v>
      </c>
      <c r="E45" s="5">
        <v>301551474</v>
      </c>
      <c r="F45" s="6">
        <v>142.39</v>
      </c>
      <c r="G45" s="1">
        <v>-14.5658815141347</v>
      </c>
      <c r="H45" s="1">
        <v>4.62021</v>
      </c>
    </row>
    <row r="46" spans="1:9">
      <c r="A46" s="1" t="s">
        <v>18</v>
      </c>
      <c r="B46" s="1">
        <v>2024</v>
      </c>
      <c r="C46" s="1">
        <v>78236</v>
      </c>
      <c r="D46" s="1">
        <v>4155</v>
      </c>
      <c r="E46" s="5">
        <v>325070580</v>
      </c>
      <c r="F46" s="6">
        <v>137.2</v>
      </c>
      <c r="G46" s="1">
        <v>-14.6781131706552</v>
      </c>
      <c r="H46" s="1">
        <v>6.15475</v>
      </c>
      <c r="I46" s="1"/>
    </row>
    <row r="47" spans="1:9">
      <c r="A47" s="1" t="s">
        <v>19</v>
      </c>
      <c r="B47" s="1">
        <v>2010</v>
      </c>
      <c r="C47" s="1">
        <v>76074</v>
      </c>
      <c r="D47" s="1">
        <v>2303</v>
      </c>
      <c r="E47" s="5">
        <v>175198422</v>
      </c>
      <c r="F47" s="6">
        <v>22</v>
      </c>
      <c r="G47" s="1">
        <v>-15.8903872762184</v>
      </c>
    </row>
    <row r="48" spans="1:9">
      <c r="A48" s="1" t="s">
        <v>19</v>
      </c>
      <c r="B48" s="1">
        <v>2011</v>
      </c>
      <c r="C48" s="1">
        <v>82560</v>
      </c>
      <c r="D48" s="1">
        <v>2356</v>
      </c>
      <c r="E48" s="5">
        <v>194511360</v>
      </c>
      <c r="F48" s="6">
        <v>24.9</v>
      </c>
      <c r="G48" s="1">
        <v>-15.8711333220162</v>
      </c>
      <c r="H48" s="1">
        <v>9.41065</v>
      </c>
    </row>
    <row r="49" spans="1:9">
      <c r="A49" s="1" t="s">
        <v>19</v>
      </c>
      <c r="B49" s="1">
        <v>2012</v>
      </c>
      <c r="C49" s="1">
        <v>85373</v>
      </c>
      <c r="D49" s="1">
        <v>2399</v>
      </c>
      <c r="E49" s="5">
        <v>204809827</v>
      </c>
      <c r="F49" s="6">
        <v>24.26</v>
      </c>
      <c r="G49" s="1">
        <v>-15.948763529861</v>
      </c>
      <c r="H49" s="1">
        <v>6.36016</v>
      </c>
    </row>
    <row r="50" spans="1:9">
      <c r="A50" s="1" t="s">
        <v>19</v>
      </c>
      <c r="B50" s="1">
        <v>2013</v>
      </c>
      <c r="C50" s="1">
        <v>90993</v>
      </c>
      <c r="D50" s="1">
        <v>2448</v>
      </c>
      <c r="E50" s="5">
        <v>222750864</v>
      </c>
      <c r="F50" s="6">
        <v>23.56</v>
      </c>
      <c r="G50" s="1">
        <v>-16.0620141443122</v>
      </c>
      <c r="H50" s="1">
        <v>11.59151</v>
      </c>
    </row>
    <row r="51" spans="1:9">
      <c r="A51" s="1" t="s">
        <v>19</v>
      </c>
      <c r="B51" s="1">
        <v>2014</v>
      </c>
      <c r="C51" s="1">
        <v>97370</v>
      </c>
      <c r="D51" s="1">
        <v>2467</v>
      </c>
      <c r="E51" s="5">
        <v>240211790</v>
      </c>
      <c r="F51" s="6">
        <v>22.44</v>
      </c>
      <c r="G51" s="1">
        <v>-16.1861864698477</v>
      </c>
      <c r="H51" s="1">
        <v>5.20766</v>
      </c>
    </row>
    <row r="52" spans="1:9">
      <c r="A52" s="1" t="s">
        <v>19</v>
      </c>
      <c r="B52" s="1">
        <v>2015</v>
      </c>
      <c r="C52" s="1">
        <v>103795.536</v>
      </c>
      <c r="D52" s="1">
        <v>2458</v>
      </c>
      <c r="E52" s="5">
        <v>255129427.488</v>
      </c>
      <c r="F52" s="6">
        <v>19.88</v>
      </c>
      <c r="G52" s="1">
        <v>-16.3675673319064</v>
      </c>
      <c r="H52" s="1">
        <v>17.8</v>
      </c>
    </row>
    <row r="53" spans="1:9">
      <c r="A53" s="1" t="s">
        <v>19</v>
      </c>
      <c r="B53" s="1">
        <v>2016</v>
      </c>
      <c r="C53" s="1">
        <v>116562</v>
      </c>
      <c r="D53" s="1">
        <v>2467</v>
      </c>
      <c r="E53" s="5">
        <v>287558454</v>
      </c>
      <c r="F53" s="6">
        <v>7.88</v>
      </c>
      <c r="G53" s="1">
        <v>-17.4126088119264</v>
      </c>
      <c r="H53" s="1">
        <v>21.2</v>
      </c>
    </row>
    <row r="54" spans="1:9">
      <c r="A54" s="1" t="s">
        <v>19</v>
      </c>
      <c r="B54" s="1">
        <v>2017</v>
      </c>
      <c r="C54" s="1">
        <v>126634.15</v>
      </c>
      <c r="D54" s="1">
        <v>2466</v>
      </c>
      <c r="E54" s="5">
        <v>312279813.9</v>
      </c>
      <c r="F54" s="6">
        <v>6.52</v>
      </c>
      <c r="G54" s="1">
        <v>-17.6845358073381</v>
      </c>
      <c r="H54" s="1">
        <v>51.9</v>
      </c>
    </row>
    <row r="55" spans="1:9">
      <c r="A55" s="1" t="s">
        <v>19</v>
      </c>
      <c r="B55" s="1">
        <v>2018</v>
      </c>
      <c r="C55" s="1">
        <v>134982</v>
      </c>
      <c r="D55" s="1">
        <v>2475</v>
      </c>
      <c r="E55" s="5">
        <v>334080450</v>
      </c>
      <c r="F55" s="6">
        <v>6.21</v>
      </c>
      <c r="G55" s="1">
        <v>-17.800731494255</v>
      </c>
      <c r="H55" s="1">
        <v>44.82404</v>
      </c>
    </row>
    <row r="56" spans="1:9">
      <c r="A56" s="1" t="s">
        <v>19</v>
      </c>
      <c r="B56" s="1">
        <v>2019</v>
      </c>
      <c r="C56" s="1">
        <v>157279</v>
      </c>
      <c r="D56" s="1">
        <v>2481</v>
      </c>
      <c r="E56" s="5">
        <v>390209199</v>
      </c>
      <c r="F56" s="6">
        <v>5.56</v>
      </c>
      <c r="G56" s="1">
        <v>-18.0665954527026</v>
      </c>
      <c r="H56" s="1">
        <v>20.768035</v>
      </c>
    </row>
    <row r="57" spans="1:9">
      <c r="A57" s="1" t="s">
        <v>19</v>
      </c>
      <c r="B57" s="1">
        <v>2020</v>
      </c>
      <c r="C57" s="1">
        <v>155768</v>
      </c>
      <c r="D57" s="1">
        <v>2488</v>
      </c>
      <c r="E57" s="5">
        <v>387550784</v>
      </c>
      <c r="F57" s="6">
        <v>7.29</v>
      </c>
      <c r="G57" s="1">
        <v>-17.788853907634</v>
      </c>
      <c r="H57" s="1">
        <v>29.93774</v>
      </c>
    </row>
    <row r="58" spans="1:9">
      <c r="A58" s="1" t="s">
        <v>19</v>
      </c>
      <c r="B58" s="1">
        <v>2021</v>
      </c>
      <c r="C58" s="1">
        <v>173630</v>
      </c>
      <c r="D58" s="1">
        <v>2489</v>
      </c>
      <c r="E58" s="5">
        <v>432165070</v>
      </c>
      <c r="F58" s="6">
        <v>7.51</v>
      </c>
      <c r="G58" s="1">
        <v>-17.8680827139297</v>
      </c>
      <c r="H58" s="1">
        <v>9.0711</v>
      </c>
    </row>
    <row r="59" spans="1:9">
      <c r="A59" s="1" t="s">
        <v>19</v>
      </c>
      <c r="B59" s="1">
        <v>2022</v>
      </c>
      <c r="C59" s="1">
        <v>179907</v>
      </c>
      <c r="D59" s="1">
        <v>2475</v>
      </c>
      <c r="E59" s="5">
        <v>445269825</v>
      </c>
      <c r="F59" s="6">
        <v>7.75</v>
      </c>
      <c r="G59" s="1">
        <v>-17.866498161325</v>
      </c>
      <c r="H59" s="1">
        <v>11.09416</v>
      </c>
    </row>
    <row r="60" spans="1:9">
      <c r="A60" s="1" t="s">
        <v>19</v>
      </c>
      <c r="B60" s="1">
        <v>2023</v>
      </c>
      <c r="C60" s="1">
        <v>190321</v>
      </c>
      <c r="D60" s="1">
        <v>2487</v>
      </c>
      <c r="E60" s="5">
        <v>473328327</v>
      </c>
      <c r="F60" s="6">
        <v>10.97</v>
      </c>
      <c r="G60" s="1">
        <v>-17.5801355687878</v>
      </c>
      <c r="H60" s="1">
        <v>27.41051</v>
      </c>
    </row>
    <row r="61" spans="1:9">
      <c r="A61" s="1" t="s">
        <v>19</v>
      </c>
      <c r="B61" s="1">
        <v>2024</v>
      </c>
      <c r="C61" s="1">
        <v>217140</v>
      </c>
      <c r="D61" s="1">
        <v>2480</v>
      </c>
      <c r="E61" s="5">
        <v>538507200</v>
      </c>
      <c r="F61" s="6">
        <v>13.07</v>
      </c>
      <c r="G61" s="1">
        <v>-17.5339918973087</v>
      </c>
      <c r="H61" s="1">
        <v>8.07109</v>
      </c>
      <c r="I61" s="1"/>
    </row>
    <row r="62" spans="1:9">
      <c r="A62" s="1" t="s">
        <v>20</v>
      </c>
      <c r="B62" s="1">
        <v>2010</v>
      </c>
      <c r="C62" s="1">
        <v>52840</v>
      </c>
      <c r="D62" s="1">
        <v>7869</v>
      </c>
      <c r="E62" s="5">
        <v>415797960</v>
      </c>
      <c r="F62" s="6">
        <v>78.8</v>
      </c>
      <c r="G62" s="1">
        <v>-15.4787970303074</v>
      </c>
    </row>
    <row r="63" spans="1:9">
      <c r="A63" s="1" t="s">
        <v>20</v>
      </c>
      <c r="B63" s="1">
        <v>2011</v>
      </c>
      <c r="C63" s="1">
        <v>62290</v>
      </c>
      <c r="D63" s="1">
        <v>8023</v>
      </c>
      <c r="E63" s="5">
        <v>499752670</v>
      </c>
      <c r="F63" s="6">
        <v>124.62</v>
      </c>
      <c r="G63" s="1">
        <v>-15.2043547668858</v>
      </c>
      <c r="H63" s="1">
        <v>18.59945</v>
      </c>
    </row>
    <row r="64" spans="1:9">
      <c r="A64" s="1" t="s">
        <v>20</v>
      </c>
      <c r="B64" s="1">
        <v>2012</v>
      </c>
      <c r="C64" s="1">
        <v>68347</v>
      </c>
      <c r="D64" s="1">
        <v>8120</v>
      </c>
      <c r="E64" s="5">
        <v>554977640</v>
      </c>
      <c r="F64" s="6">
        <v>119.7</v>
      </c>
      <c r="G64" s="1">
        <v>-15.3494497700469</v>
      </c>
      <c r="H64" s="1">
        <v>31.0062</v>
      </c>
    </row>
    <row r="65" spans="1:9">
      <c r="A65" s="1" t="s">
        <v>20</v>
      </c>
      <c r="B65" s="1">
        <v>2013</v>
      </c>
      <c r="C65" s="1">
        <v>75354</v>
      </c>
      <c r="D65" s="1">
        <v>8192</v>
      </c>
      <c r="E65" s="5">
        <v>617299968</v>
      </c>
      <c r="F65" s="6">
        <v>114.89</v>
      </c>
      <c r="G65" s="1">
        <v>-15.4968904866602</v>
      </c>
      <c r="H65" s="1">
        <v>39.01435</v>
      </c>
    </row>
    <row r="66" spans="1:9">
      <c r="A66" s="1" t="s">
        <v>20</v>
      </c>
      <c r="B66" s="1">
        <v>2014</v>
      </c>
      <c r="C66" s="1">
        <v>81874</v>
      </c>
      <c r="D66" s="1">
        <v>8281</v>
      </c>
      <c r="E66" s="5">
        <v>677998594</v>
      </c>
      <c r="F66" s="6">
        <v>110</v>
      </c>
      <c r="G66" s="1">
        <v>-15.6341754063638</v>
      </c>
      <c r="H66" s="1">
        <v>59.37756</v>
      </c>
    </row>
    <row r="67" spans="1:9">
      <c r="A67" s="1" t="s">
        <v>20</v>
      </c>
      <c r="B67" s="1">
        <v>2015</v>
      </c>
      <c r="C67" s="1">
        <v>87995</v>
      </c>
      <c r="D67" s="1">
        <v>8315</v>
      </c>
      <c r="E67" s="5">
        <v>731678425</v>
      </c>
      <c r="F67" s="6">
        <v>105.46</v>
      </c>
      <c r="G67" s="1">
        <v>-15.752519931189</v>
      </c>
      <c r="H67" s="1">
        <v>48.5</v>
      </c>
    </row>
    <row r="68" spans="1:9">
      <c r="A68" s="1" t="s">
        <v>20</v>
      </c>
      <c r="B68" s="1">
        <v>2016</v>
      </c>
      <c r="C68" s="1">
        <v>96887</v>
      </c>
      <c r="D68" s="1">
        <v>8381</v>
      </c>
      <c r="E68" s="5">
        <v>812009947</v>
      </c>
      <c r="F68" s="6">
        <v>57.85</v>
      </c>
      <c r="G68" s="1">
        <v>-16.4571696944112</v>
      </c>
      <c r="H68" s="1">
        <v>62.2</v>
      </c>
    </row>
    <row r="69" spans="1:9">
      <c r="A69" s="1" t="s">
        <v>20</v>
      </c>
      <c r="B69" s="1">
        <v>2017</v>
      </c>
      <c r="C69" s="1">
        <v>107150</v>
      </c>
      <c r="D69" s="1">
        <v>8423</v>
      </c>
      <c r="E69" s="5">
        <v>902524450</v>
      </c>
      <c r="F69" s="6">
        <v>53.03</v>
      </c>
      <c r="G69" s="1">
        <v>-16.649848548068</v>
      </c>
      <c r="H69" s="1">
        <v>74.8</v>
      </c>
    </row>
    <row r="70" spans="1:9">
      <c r="A70" s="1" t="s">
        <v>20</v>
      </c>
      <c r="B70" s="1">
        <v>2018</v>
      </c>
      <c r="C70" s="1">
        <v>115168.408</v>
      </c>
      <c r="D70" s="1">
        <v>8446</v>
      </c>
      <c r="E70" s="5">
        <v>972712373.968</v>
      </c>
      <c r="F70" s="6">
        <v>48.8</v>
      </c>
      <c r="G70" s="1">
        <v>-16.807868676158</v>
      </c>
      <c r="H70" s="1">
        <v>44.79986</v>
      </c>
    </row>
    <row r="71" spans="1:9">
      <c r="A71" s="1" t="s">
        <v>20</v>
      </c>
      <c r="B71" s="1">
        <v>2019</v>
      </c>
      <c r="C71" s="1">
        <v>123607</v>
      </c>
      <c r="D71" s="1">
        <v>8469</v>
      </c>
      <c r="E71" s="5">
        <v>1046827683</v>
      </c>
      <c r="F71" s="6">
        <v>47.41</v>
      </c>
      <c r="G71" s="1">
        <v>-16.9101969967138</v>
      </c>
      <c r="H71" s="1">
        <v>82.88992</v>
      </c>
    </row>
    <row r="72" spans="1:9">
      <c r="A72" s="1" t="s">
        <v>20</v>
      </c>
      <c r="B72" s="1">
        <v>2020</v>
      </c>
      <c r="C72" s="1">
        <v>121231</v>
      </c>
      <c r="D72" s="1">
        <v>8477</v>
      </c>
      <c r="E72" s="5">
        <v>1027675187</v>
      </c>
      <c r="F72" s="6">
        <v>120.78</v>
      </c>
      <c r="G72" s="1">
        <v>-15.9565942792186</v>
      </c>
      <c r="H72" s="1">
        <v>59.99226</v>
      </c>
    </row>
    <row r="73" spans="1:9">
      <c r="A73" s="1" t="s">
        <v>20</v>
      </c>
      <c r="B73" s="1">
        <v>2021</v>
      </c>
      <c r="C73" s="1">
        <v>137039</v>
      </c>
      <c r="D73" s="1">
        <v>8505</v>
      </c>
      <c r="E73" s="5">
        <v>1165516695</v>
      </c>
      <c r="F73" s="6">
        <v>119.49</v>
      </c>
      <c r="G73" s="1">
        <v>-16.0931976548002</v>
      </c>
      <c r="H73" s="1">
        <v>53.1335</v>
      </c>
    </row>
    <row r="74" spans="1:9">
      <c r="A74" s="1" t="s">
        <v>20</v>
      </c>
      <c r="B74" s="1">
        <v>2022</v>
      </c>
      <c r="C74" s="1">
        <v>144390</v>
      </c>
      <c r="D74" s="1">
        <v>8515</v>
      </c>
      <c r="E74" s="5">
        <v>1229480850</v>
      </c>
      <c r="F74" s="6">
        <v>124.01</v>
      </c>
      <c r="G74" s="1">
        <v>-16.1094956365474</v>
      </c>
      <c r="H74" s="1">
        <v>9.82286</v>
      </c>
    </row>
    <row r="75" spans="1:9">
      <c r="A75" s="1" t="s">
        <v>20</v>
      </c>
      <c r="B75" s="1">
        <v>2023</v>
      </c>
      <c r="C75" s="1">
        <v>150487</v>
      </c>
      <c r="D75" s="1">
        <v>8526</v>
      </c>
      <c r="E75" s="5">
        <v>1283052162</v>
      </c>
      <c r="F75" s="6">
        <v>127.68</v>
      </c>
      <c r="G75" s="1">
        <v>-16.1229804443263</v>
      </c>
      <c r="H75" s="1">
        <v>7.33818</v>
      </c>
    </row>
    <row r="76" spans="1:9">
      <c r="A76" s="1" t="s">
        <v>20</v>
      </c>
      <c r="B76" s="1">
        <v>2024</v>
      </c>
      <c r="C76" s="1">
        <v>160694</v>
      </c>
      <c r="D76" s="1">
        <v>8526</v>
      </c>
      <c r="E76" s="5">
        <v>1370077044</v>
      </c>
      <c r="F76" s="6">
        <v>120.63</v>
      </c>
      <c r="G76" s="1">
        <v>-16.2454048021243</v>
      </c>
      <c r="H76" s="1">
        <v>19.48091</v>
      </c>
      <c r="I76" s="1"/>
    </row>
    <row r="77" spans="1:9">
      <c r="A77" s="1" t="s">
        <v>21</v>
      </c>
      <c r="B77" s="1">
        <v>2010</v>
      </c>
      <c r="C77" s="1">
        <v>51711</v>
      </c>
      <c r="D77" s="1">
        <v>5447</v>
      </c>
      <c r="E77" s="5">
        <v>281669817</v>
      </c>
      <c r="F77" s="6">
        <v>48.7</v>
      </c>
      <c r="G77" s="1">
        <v>-15.5705670511176</v>
      </c>
    </row>
    <row r="78" spans="1:9">
      <c r="A78" s="1" t="s">
        <v>21</v>
      </c>
      <c r="B78" s="1">
        <v>2011</v>
      </c>
      <c r="C78" s="1">
        <v>59249</v>
      </c>
      <c r="D78" s="1">
        <v>5570</v>
      </c>
      <c r="E78" s="5">
        <v>330016930</v>
      </c>
      <c r="F78" s="6">
        <v>81.83</v>
      </c>
      <c r="G78" s="1">
        <v>-15.2100105895999</v>
      </c>
      <c r="H78" s="1">
        <v>11.95682</v>
      </c>
    </row>
    <row r="79" spans="1:9">
      <c r="A79" s="1" t="s">
        <v>21</v>
      </c>
      <c r="B79" s="1">
        <v>2012</v>
      </c>
      <c r="C79" s="1">
        <v>63374</v>
      </c>
      <c r="D79" s="1">
        <v>5685</v>
      </c>
      <c r="E79" s="5">
        <v>360281190</v>
      </c>
      <c r="F79" s="6">
        <v>78.62</v>
      </c>
      <c r="G79" s="1">
        <v>-15.3377692478672</v>
      </c>
      <c r="H79" s="1">
        <v>17.83728</v>
      </c>
    </row>
    <row r="80" spans="1:9">
      <c r="A80" s="1" t="s">
        <v>21</v>
      </c>
      <c r="B80" s="1">
        <v>2013</v>
      </c>
      <c r="C80" s="1">
        <v>68805</v>
      </c>
      <c r="D80" s="1">
        <v>5784</v>
      </c>
      <c r="E80" s="5">
        <v>397968120</v>
      </c>
      <c r="F80" s="6">
        <v>75.51</v>
      </c>
      <c r="G80" s="1">
        <v>-15.4776173617226</v>
      </c>
      <c r="H80" s="1">
        <v>28.30228</v>
      </c>
    </row>
    <row r="81" spans="1:9">
      <c r="A81" s="1" t="s">
        <v>21</v>
      </c>
      <c r="B81" s="1">
        <v>2014</v>
      </c>
      <c r="C81" s="1">
        <v>73002</v>
      </c>
      <c r="D81" s="1">
        <v>5890</v>
      </c>
      <c r="E81" s="5">
        <v>429981780</v>
      </c>
      <c r="F81" s="6">
        <v>72.54</v>
      </c>
      <c r="G81" s="1">
        <v>-15.5951152598064</v>
      </c>
      <c r="H81" s="1">
        <v>57.66446</v>
      </c>
    </row>
    <row r="82" spans="1:9">
      <c r="A82" s="1" t="s">
        <v>21</v>
      </c>
      <c r="B82" s="1">
        <v>2015</v>
      </c>
      <c r="C82" s="1">
        <v>77643.68607</v>
      </c>
      <c r="D82" s="1">
        <v>5985</v>
      </c>
      <c r="E82" s="5">
        <v>464697461.12895</v>
      </c>
      <c r="F82" s="6">
        <v>68.32</v>
      </c>
      <c r="G82" s="1">
        <v>-15.7326945810974</v>
      </c>
      <c r="H82" s="1">
        <v>67.6</v>
      </c>
    </row>
    <row r="83" spans="1:9">
      <c r="A83" s="1" t="s">
        <v>21</v>
      </c>
      <c r="B83" s="1">
        <v>2016</v>
      </c>
      <c r="C83" s="1">
        <v>84916</v>
      </c>
      <c r="D83" s="1">
        <v>6072</v>
      </c>
      <c r="E83" s="5">
        <v>515609952</v>
      </c>
      <c r="F83" s="6">
        <v>27.76</v>
      </c>
      <c r="G83" s="1">
        <v>-16.7372649949888</v>
      </c>
      <c r="H83" s="1">
        <v>58.6</v>
      </c>
    </row>
    <row r="84" spans="1:9">
      <c r="A84" s="1" t="s">
        <v>21</v>
      </c>
      <c r="B84" s="1">
        <v>2017</v>
      </c>
      <c r="C84" s="1">
        <v>92057.01076</v>
      </c>
      <c r="D84" s="1">
        <v>6170</v>
      </c>
      <c r="E84" s="5">
        <v>567991756.3892</v>
      </c>
      <c r="F84" s="6">
        <v>23.28</v>
      </c>
      <c r="G84" s="1">
        <v>-17.0100228403176</v>
      </c>
      <c r="H84" s="1">
        <v>60.2</v>
      </c>
    </row>
    <row r="85" spans="1:9">
      <c r="A85" s="1" t="s">
        <v>21</v>
      </c>
      <c r="B85" s="1">
        <v>2018</v>
      </c>
      <c r="C85" s="1">
        <v>98643.40881</v>
      </c>
      <c r="D85" s="1">
        <v>6273</v>
      </c>
      <c r="E85" s="5">
        <v>618790103.46513</v>
      </c>
      <c r="F85" s="6">
        <v>21.75</v>
      </c>
      <c r="G85" s="1">
        <v>-17.1636629258932</v>
      </c>
      <c r="H85" s="1">
        <v>36.90109</v>
      </c>
    </row>
    <row r="86" spans="1:9">
      <c r="A86" s="1" t="s">
        <v>21</v>
      </c>
      <c r="B86" s="1">
        <v>2019</v>
      </c>
      <c r="C86" s="1">
        <v>107623.61</v>
      </c>
      <c r="D86" s="1">
        <v>6375</v>
      </c>
      <c r="E86" s="5">
        <v>686100513.75</v>
      </c>
      <c r="F86" s="6">
        <v>20.62</v>
      </c>
      <c r="G86" s="1">
        <v>-17.3202732178696</v>
      </c>
      <c r="H86" s="1">
        <v>45.44629</v>
      </c>
    </row>
    <row r="87" spans="1:9">
      <c r="A87" s="1" t="s">
        <v>21</v>
      </c>
      <c r="B87" s="1">
        <v>2020</v>
      </c>
      <c r="C87" s="1">
        <v>100620</v>
      </c>
      <c r="D87" s="1">
        <v>6468</v>
      </c>
      <c r="E87" s="5">
        <v>650810160</v>
      </c>
      <c r="F87" s="6">
        <v>53.22</v>
      </c>
      <c r="G87" s="1">
        <v>-16.3192942791928</v>
      </c>
      <c r="H87" s="1">
        <v>34.06497</v>
      </c>
    </row>
    <row r="88" spans="1:9">
      <c r="A88" s="1" t="s">
        <v>21</v>
      </c>
      <c r="B88" s="1">
        <v>2021</v>
      </c>
      <c r="C88" s="1">
        <v>113032</v>
      </c>
      <c r="D88" s="1">
        <v>6540</v>
      </c>
      <c r="E88" s="5">
        <v>739229280</v>
      </c>
      <c r="F88" s="6">
        <v>49.87</v>
      </c>
      <c r="G88" s="1">
        <v>-16.5116990683389</v>
      </c>
      <c r="H88" s="1">
        <v>50.5097</v>
      </c>
    </row>
    <row r="89" spans="1:9">
      <c r="A89" s="1" t="s">
        <v>21</v>
      </c>
      <c r="B89" s="1">
        <v>2022</v>
      </c>
      <c r="C89" s="1">
        <v>118496</v>
      </c>
      <c r="D89" s="1">
        <v>6577</v>
      </c>
      <c r="E89" s="5">
        <v>779348192</v>
      </c>
      <c r="F89" s="6">
        <v>46.75</v>
      </c>
      <c r="G89" s="1">
        <v>-16.62915422128</v>
      </c>
      <c r="H89" s="1">
        <v>17.55381</v>
      </c>
    </row>
    <row r="90" spans="1:9">
      <c r="A90" s="1" t="s">
        <v>21</v>
      </c>
      <c r="B90" s="1">
        <v>2023</v>
      </c>
      <c r="C90" s="1">
        <v>125043</v>
      </c>
      <c r="D90" s="1">
        <v>6627</v>
      </c>
      <c r="E90" s="5">
        <v>828659961</v>
      </c>
      <c r="F90" s="6">
        <v>54.3</v>
      </c>
      <c r="G90" s="1">
        <v>-16.5407962222783</v>
      </c>
      <c r="H90" s="1">
        <v>27.74706</v>
      </c>
    </row>
    <row r="91" spans="1:9">
      <c r="A91" s="1" t="s">
        <v>21</v>
      </c>
      <c r="B91" s="1">
        <v>2024</v>
      </c>
      <c r="C91" s="1">
        <v>135565</v>
      </c>
      <c r="D91" s="1">
        <v>6670</v>
      </c>
      <c r="E91" s="5">
        <v>904218550</v>
      </c>
      <c r="F91" s="6">
        <v>51.44</v>
      </c>
      <c r="G91" s="1">
        <v>-16.6821655680577</v>
      </c>
      <c r="H91" s="1">
        <v>21.35609</v>
      </c>
      <c r="I91" s="1"/>
    </row>
    <row r="92" spans="1:9">
      <c r="A92" s="1" t="s">
        <v>22</v>
      </c>
      <c r="B92" s="1">
        <v>2010</v>
      </c>
      <c r="C92" s="1">
        <v>40025</v>
      </c>
      <c r="D92" s="1">
        <v>3693</v>
      </c>
      <c r="E92" s="5">
        <v>147812325</v>
      </c>
      <c r="F92" s="6">
        <v>37.3</v>
      </c>
      <c r="G92" s="1">
        <v>-15.1924606260677</v>
      </c>
    </row>
    <row r="93" spans="1:9">
      <c r="A93" s="1" t="s">
        <v>22</v>
      </c>
      <c r="B93" s="1">
        <v>2011</v>
      </c>
      <c r="C93" s="1">
        <v>47377</v>
      </c>
      <c r="D93" s="1">
        <v>3784</v>
      </c>
      <c r="E93" s="5">
        <v>179274568</v>
      </c>
      <c r="F93" s="6">
        <v>67.94</v>
      </c>
      <c r="G93" s="1">
        <v>-14.7858041252918</v>
      </c>
      <c r="H93" s="1">
        <v>15.32955</v>
      </c>
    </row>
    <row r="94" spans="1:9">
      <c r="A94" s="1" t="s">
        <v>22</v>
      </c>
      <c r="B94" s="1">
        <v>2012</v>
      </c>
      <c r="C94" s="1">
        <v>52763</v>
      </c>
      <c r="D94" s="1">
        <v>3841</v>
      </c>
      <c r="E94" s="5">
        <v>202662683</v>
      </c>
      <c r="F94" s="6">
        <v>66</v>
      </c>
      <c r="G94" s="1">
        <v>-14.9373987527927</v>
      </c>
      <c r="H94" s="1">
        <v>14.25992</v>
      </c>
    </row>
    <row r="95" spans="1:9">
      <c r="A95" s="1" t="s">
        <v>22</v>
      </c>
      <c r="B95" s="1">
        <v>2013</v>
      </c>
      <c r="C95" s="1">
        <v>58145</v>
      </c>
      <c r="D95" s="1">
        <v>3885</v>
      </c>
      <c r="E95" s="5">
        <v>225893325</v>
      </c>
      <c r="F95" s="6">
        <v>63.9</v>
      </c>
      <c r="G95" s="1">
        <v>-15.0782540711454</v>
      </c>
      <c r="H95" s="1">
        <v>23.76346</v>
      </c>
    </row>
    <row r="96" spans="1:9">
      <c r="A96" s="1" t="s">
        <v>22</v>
      </c>
      <c r="B96" s="1">
        <v>2014</v>
      </c>
      <c r="C96" s="1">
        <v>63472</v>
      </c>
      <c r="D96" s="1">
        <v>3945</v>
      </c>
      <c r="E96" s="5">
        <v>250397040</v>
      </c>
      <c r="F96" s="6">
        <v>62.98</v>
      </c>
      <c r="G96" s="1">
        <v>-15.1957411603612</v>
      </c>
      <c r="H96" s="1">
        <v>38.39635</v>
      </c>
    </row>
    <row r="97" spans="1:9">
      <c r="A97" s="1" t="s">
        <v>22</v>
      </c>
      <c r="B97" s="1">
        <v>2015</v>
      </c>
      <c r="C97" s="1">
        <v>67965.51995</v>
      </c>
      <c r="D97" s="1">
        <v>3984</v>
      </c>
      <c r="E97" s="5">
        <v>270774631.4808</v>
      </c>
      <c r="F97" s="6">
        <v>60.94</v>
      </c>
      <c r="G97" s="1">
        <v>-15.3069076411482</v>
      </c>
      <c r="H97" s="1">
        <v>42.4</v>
      </c>
    </row>
    <row r="98" spans="1:9">
      <c r="A98" s="1" t="s">
        <v>22</v>
      </c>
      <c r="B98" s="1">
        <v>2016</v>
      </c>
      <c r="C98" s="1">
        <v>74707</v>
      </c>
      <c r="D98" s="1">
        <v>4016</v>
      </c>
      <c r="E98" s="5">
        <v>300023312</v>
      </c>
      <c r="F98" s="6">
        <v>28.88</v>
      </c>
      <c r="G98" s="1">
        <v>-16.1562214222435</v>
      </c>
      <c r="H98" s="1">
        <v>44.7</v>
      </c>
    </row>
    <row r="99" spans="1:9">
      <c r="A99" s="1" t="s">
        <v>22</v>
      </c>
      <c r="B99" s="1">
        <v>2017</v>
      </c>
      <c r="C99" s="1">
        <v>82677</v>
      </c>
      <c r="D99" s="1">
        <v>4065</v>
      </c>
      <c r="E99" s="5">
        <v>336082005</v>
      </c>
      <c r="F99" s="6">
        <v>26.07</v>
      </c>
      <c r="G99" s="1">
        <v>-16.3720805227037</v>
      </c>
      <c r="H99" s="1">
        <v>22.6</v>
      </c>
    </row>
    <row r="100" spans="1:9">
      <c r="A100" s="1" t="s">
        <v>22</v>
      </c>
      <c r="B100" s="1">
        <v>2018</v>
      </c>
      <c r="C100" s="1">
        <v>91197.24911</v>
      </c>
      <c r="D100" s="1">
        <v>4104</v>
      </c>
      <c r="E100" s="5">
        <v>374273510.34744</v>
      </c>
      <c r="F100" s="6">
        <v>26.52</v>
      </c>
      <c r="G100" s="1">
        <v>-16.4625982338729</v>
      </c>
      <c r="H100" s="1">
        <v>14.73943</v>
      </c>
    </row>
    <row r="101" spans="1:9">
      <c r="A101" s="1" t="s">
        <v>22</v>
      </c>
      <c r="B101" s="1">
        <v>2019</v>
      </c>
      <c r="C101" s="1">
        <v>107139.25</v>
      </c>
      <c r="D101" s="1">
        <v>4137</v>
      </c>
      <c r="E101" s="5">
        <v>443235077.25</v>
      </c>
      <c r="F101" s="6">
        <v>25.16</v>
      </c>
      <c r="G101" s="1">
        <v>-16.684355403853</v>
      </c>
      <c r="H101" s="1">
        <v>4.83943</v>
      </c>
    </row>
    <row r="102" spans="1:9">
      <c r="A102" s="1" t="s">
        <v>22</v>
      </c>
      <c r="B102" s="1">
        <v>2020</v>
      </c>
      <c r="C102" s="1">
        <v>105818</v>
      </c>
      <c r="D102" s="1">
        <v>4161</v>
      </c>
      <c r="E102" s="5">
        <v>440308698</v>
      </c>
      <c r="F102" s="6">
        <v>62.3</v>
      </c>
      <c r="G102" s="1">
        <v>-15.7710251994501</v>
      </c>
      <c r="H102" s="1">
        <v>12.76453</v>
      </c>
    </row>
    <row r="103" spans="1:9">
      <c r="A103" s="1" t="s">
        <v>22</v>
      </c>
      <c r="B103" s="1">
        <v>2021</v>
      </c>
      <c r="C103" s="1">
        <v>116939</v>
      </c>
      <c r="D103" s="1">
        <v>4187</v>
      </c>
      <c r="E103" s="5">
        <v>489623593</v>
      </c>
      <c r="F103" s="6">
        <v>55.69</v>
      </c>
      <c r="G103" s="1">
        <v>-15.9893468787168</v>
      </c>
      <c r="H103" s="1">
        <v>17.5766</v>
      </c>
    </row>
    <row r="104" spans="1:9">
      <c r="A104" s="1" t="s">
        <v>22</v>
      </c>
      <c r="B104" s="1">
        <v>2022</v>
      </c>
      <c r="C104" s="1">
        <v>126829</v>
      </c>
      <c r="D104" s="1">
        <v>4188</v>
      </c>
      <c r="E104" s="5">
        <v>531159852</v>
      </c>
      <c r="F104" s="6">
        <v>55.22</v>
      </c>
      <c r="G104" s="1">
        <v>-16.0792483669489</v>
      </c>
      <c r="H104" s="1">
        <v>12.04011</v>
      </c>
    </row>
    <row r="105" spans="1:9">
      <c r="A105" s="1" t="s">
        <v>22</v>
      </c>
      <c r="B105" s="1">
        <v>2023</v>
      </c>
      <c r="C105" s="1">
        <v>129865</v>
      </c>
      <c r="D105" s="1">
        <v>4183</v>
      </c>
      <c r="E105" s="5">
        <v>543225295</v>
      </c>
      <c r="F105" s="6">
        <v>66.24</v>
      </c>
      <c r="G105" s="1">
        <v>-15.9197501896897</v>
      </c>
      <c r="H105" s="1">
        <v>12.01373</v>
      </c>
    </row>
    <row r="106" spans="1:9">
      <c r="A106" s="1" t="s">
        <v>22</v>
      </c>
      <c r="B106" s="1">
        <v>2024</v>
      </c>
      <c r="C106" s="1">
        <v>137920</v>
      </c>
      <c r="D106" s="1">
        <v>4193</v>
      </c>
      <c r="E106" s="5">
        <v>578298560</v>
      </c>
      <c r="F106" s="6">
        <v>60.24</v>
      </c>
      <c r="G106" s="1">
        <v>-16.0772642495766</v>
      </c>
      <c r="H106" s="1">
        <v>13.09918</v>
      </c>
      <c r="I106" s="1"/>
    </row>
    <row r="107" spans="1:9">
      <c r="A107" s="1" t="s">
        <v>23</v>
      </c>
      <c r="B107" s="1">
        <v>2010</v>
      </c>
      <c r="C107" s="1">
        <v>41106</v>
      </c>
      <c r="D107" s="1">
        <v>9588</v>
      </c>
      <c r="E107" s="5">
        <v>394124328</v>
      </c>
      <c r="F107" s="6">
        <v>62.1</v>
      </c>
      <c r="G107" s="1">
        <v>-15.6634309818458</v>
      </c>
    </row>
    <row r="108" spans="1:9">
      <c r="A108" s="1" t="s">
        <v>23</v>
      </c>
      <c r="B108" s="1">
        <v>2011</v>
      </c>
      <c r="C108" s="1">
        <v>47335</v>
      </c>
      <c r="D108" s="1">
        <v>9665</v>
      </c>
      <c r="E108" s="5">
        <v>457492775</v>
      </c>
      <c r="F108" s="6">
        <v>198.25</v>
      </c>
      <c r="G108" s="1">
        <v>-14.6517427896905</v>
      </c>
      <c r="H108" s="1">
        <v>45.67593</v>
      </c>
    </row>
    <row r="109" spans="1:9">
      <c r="A109" s="1" t="s">
        <v>23</v>
      </c>
      <c r="B109" s="1">
        <v>2012</v>
      </c>
      <c r="C109" s="1">
        <v>51768</v>
      </c>
      <c r="D109" s="1">
        <v>9708</v>
      </c>
      <c r="E109" s="5">
        <v>502563744</v>
      </c>
      <c r="F109" s="6">
        <v>192.12</v>
      </c>
      <c r="G109" s="1">
        <v>-14.777112866787</v>
      </c>
      <c r="H109" s="1">
        <v>62.44656</v>
      </c>
    </row>
    <row r="110" spans="1:9">
      <c r="A110" s="1" t="s">
        <v>23</v>
      </c>
      <c r="B110" s="1">
        <v>2013</v>
      </c>
      <c r="C110" s="1">
        <v>56885</v>
      </c>
      <c r="D110" s="1">
        <v>9746</v>
      </c>
      <c r="E110" s="5">
        <v>554401210</v>
      </c>
      <c r="F110" s="6">
        <v>184.57</v>
      </c>
      <c r="G110" s="1">
        <v>-14.9153703930581</v>
      </c>
      <c r="H110" s="1">
        <v>67.06334</v>
      </c>
    </row>
    <row r="111" spans="1:9">
      <c r="A111" s="1" t="s">
        <v>23</v>
      </c>
      <c r="B111" s="1">
        <v>2014</v>
      </c>
      <c r="C111" s="1">
        <v>60879</v>
      </c>
      <c r="D111" s="1">
        <v>9808</v>
      </c>
      <c r="E111" s="5">
        <v>597101232</v>
      </c>
      <c r="F111" s="6">
        <v>178.04</v>
      </c>
      <c r="G111" s="1">
        <v>-15.0255889806734</v>
      </c>
      <c r="H111" s="1">
        <v>84.34935</v>
      </c>
    </row>
    <row r="112" spans="1:9">
      <c r="A112" s="1" t="s">
        <v>23</v>
      </c>
      <c r="B112" s="1">
        <v>2015</v>
      </c>
      <c r="C112" s="1">
        <v>64168.3001</v>
      </c>
      <c r="D112" s="1">
        <v>9866</v>
      </c>
      <c r="E112" s="5">
        <v>633084448.7866</v>
      </c>
      <c r="F112" s="6">
        <v>175.76</v>
      </c>
      <c r="G112" s="1">
        <v>-15.0969949535391</v>
      </c>
      <c r="H112" s="1">
        <v>141.6</v>
      </c>
    </row>
    <row r="113" spans="1:9">
      <c r="A113" s="1" t="s">
        <v>23</v>
      </c>
      <c r="B113" s="1">
        <v>2016</v>
      </c>
      <c r="C113" s="1">
        <v>68733</v>
      </c>
      <c r="D113" s="1">
        <v>9973</v>
      </c>
      <c r="E113" s="5">
        <v>685474209</v>
      </c>
      <c r="F113" s="6">
        <v>33.8</v>
      </c>
      <c r="G113" s="1">
        <v>-16.8251606301375</v>
      </c>
      <c r="H113" s="1">
        <v>94.6</v>
      </c>
    </row>
    <row r="114" spans="1:9">
      <c r="A114" s="1" t="s">
        <v>23</v>
      </c>
      <c r="B114" s="1">
        <v>2017</v>
      </c>
      <c r="C114" s="1">
        <v>72807.13889</v>
      </c>
      <c r="D114" s="1">
        <v>10033</v>
      </c>
      <c r="E114" s="5">
        <v>730474024.48337</v>
      </c>
      <c r="F114" s="6">
        <v>31.69</v>
      </c>
      <c r="G114" s="1">
        <v>-16.9532030562757</v>
      </c>
      <c r="H114" s="1">
        <v>126.4</v>
      </c>
    </row>
    <row r="115" spans="1:9">
      <c r="A115" s="1" t="s">
        <v>23</v>
      </c>
      <c r="B115" s="1">
        <v>2018</v>
      </c>
      <c r="C115" s="1">
        <v>76267.2567</v>
      </c>
      <c r="D115" s="1">
        <v>10077</v>
      </c>
      <c r="E115" s="5">
        <v>768545145.7659</v>
      </c>
      <c r="F115" s="6">
        <v>29.2</v>
      </c>
      <c r="G115" s="1">
        <v>-17.085841155247</v>
      </c>
      <c r="H115" s="1">
        <v>113.09948</v>
      </c>
    </row>
    <row r="116" spans="1:9">
      <c r="A116" s="1" t="s">
        <v>23</v>
      </c>
      <c r="B116" s="1">
        <v>2019</v>
      </c>
      <c r="C116" s="1">
        <v>70652.62</v>
      </c>
      <c r="D116" s="1">
        <v>10106</v>
      </c>
      <c r="E116" s="5">
        <v>714015377.72</v>
      </c>
      <c r="F116" s="6">
        <v>27.57</v>
      </c>
      <c r="G116" s="1">
        <v>-17.0696868324592</v>
      </c>
      <c r="H116" s="1">
        <v>105.49948</v>
      </c>
    </row>
    <row r="117" spans="1:9">
      <c r="A117" s="1" t="s">
        <v>23</v>
      </c>
      <c r="B117" s="1">
        <v>2020</v>
      </c>
      <c r="C117" s="1">
        <v>72151</v>
      </c>
      <c r="D117" s="1">
        <v>10165</v>
      </c>
      <c r="E117" s="5">
        <v>733414915</v>
      </c>
      <c r="F117" s="6">
        <v>153.48</v>
      </c>
      <c r="G117" s="1">
        <v>-15.3796518848035</v>
      </c>
      <c r="H117" s="1">
        <v>95.43478</v>
      </c>
    </row>
    <row r="118" spans="1:9">
      <c r="A118" s="1" t="s">
        <v>23</v>
      </c>
      <c r="B118" s="1">
        <v>2021</v>
      </c>
      <c r="C118" s="1">
        <v>81727</v>
      </c>
      <c r="D118" s="1">
        <v>10170</v>
      </c>
      <c r="E118" s="5">
        <v>831163590</v>
      </c>
      <c r="F118" s="6">
        <v>156.28</v>
      </c>
      <c r="G118" s="1">
        <v>-15.4866879224644</v>
      </c>
      <c r="H118" s="1">
        <v>51.9487</v>
      </c>
    </row>
    <row r="119" spans="1:9">
      <c r="A119" s="1" t="s">
        <v>23</v>
      </c>
      <c r="B119" s="1">
        <v>2022</v>
      </c>
      <c r="C119" s="1">
        <v>86003</v>
      </c>
      <c r="D119" s="1">
        <v>10163</v>
      </c>
      <c r="E119" s="5">
        <v>874048489</v>
      </c>
      <c r="F119" s="6">
        <v>151.1</v>
      </c>
      <c r="G119" s="1">
        <v>-15.5707045422072</v>
      </c>
      <c r="H119" s="1">
        <v>37.6918</v>
      </c>
    </row>
    <row r="120" spans="1:9">
      <c r="A120" s="1" t="s">
        <v>23</v>
      </c>
      <c r="B120" s="1">
        <v>2023</v>
      </c>
      <c r="C120" s="1">
        <v>90771</v>
      </c>
      <c r="D120" s="1">
        <v>10123</v>
      </c>
      <c r="E120" s="5">
        <v>918874833</v>
      </c>
      <c r="F120" s="6">
        <v>174.56</v>
      </c>
      <c r="G120" s="1">
        <v>-15.4763919498298</v>
      </c>
      <c r="H120" s="1">
        <v>29.19171</v>
      </c>
    </row>
    <row r="121" spans="1:9">
      <c r="A121" s="1" t="s">
        <v>23</v>
      </c>
      <c r="B121" s="1">
        <v>2024</v>
      </c>
      <c r="C121" s="1">
        <v>97575</v>
      </c>
      <c r="D121" s="1">
        <v>10080</v>
      </c>
      <c r="E121" s="5">
        <v>983556000</v>
      </c>
      <c r="F121" s="6">
        <v>154.22</v>
      </c>
      <c r="G121" s="1">
        <v>-15.6683049792694</v>
      </c>
      <c r="H121" s="1">
        <v>28.15484</v>
      </c>
      <c r="I121" s="1"/>
    </row>
    <row r="122" spans="1:9">
      <c r="A122" s="1" t="s">
        <v>24</v>
      </c>
      <c r="B122" s="1">
        <v>2010</v>
      </c>
      <c r="C122" s="1">
        <v>44736</v>
      </c>
      <c r="D122" s="1">
        <v>10441</v>
      </c>
      <c r="E122" s="5">
        <v>467088576</v>
      </c>
      <c r="F122" s="6">
        <v>85.8</v>
      </c>
      <c r="G122" s="1">
        <v>-15.5100104613897</v>
      </c>
    </row>
    <row r="123" spans="1:9">
      <c r="A123" s="1" t="s">
        <v>24</v>
      </c>
      <c r="B123" s="1">
        <v>2011</v>
      </c>
      <c r="C123" s="1">
        <v>50807</v>
      </c>
      <c r="D123" s="1">
        <v>10756</v>
      </c>
      <c r="E123" s="5">
        <v>546480092</v>
      </c>
      <c r="F123" s="6">
        <v>188.45</v>
      </c>
      <c r="G123" s="1">
        <v>-14.8801757170249</v>
      </c>
      <c r="H123" s="1">
        <v>31.0584</v>
      </c>
    </row>
    <row r="124" spans="1:9">
      <c r="A124" s="1" t="s">
        <v>24</v>
      </c>
      <c r="B124" s="1">
        <v>2012</v>
      </c>
      <c r="C124" s="1">
        <v>54095</v>
      </c>
      <c r="D124" s="1">
        <v>11041</v>
      </c>
      <c r="E124" s="5">
        <v>597262895</v>
      </c>
      <c r="F124" s="6">
        <v>180.29</v>
      </c>
      <c r="G124" s="1">
        <v>-15.0133012690067</v>
      </c>
      <c r="H124" s="1">
        <v>16.64198</v>
      </c>
    </row>
    <row r="125" spans="1:9">
      <c r="A125" s="1" t="s">
        <v>24</v>
      </c>
      <c r="B125" s="1">
        <v>2013</v>
      </c>
      <c r="C125" s="1">
        <v>58833</v>
      </c>
      <c r="D125" s="1">
        <v>11270</v>
      </c>
      <c r="E125" s="5">
        <v>663047910</v>
      </c>
      <c r="F125" s="6">
        <v>173.39</v>
      </c>
      <c r="G125" s="1">
        <v>-15.1568144154262</v>
      </c>
      <c r="H125" s="1">
        <v>28.09959</v>
      </c>
    </row>
    <row r="126" spans="1:9">
      <c r="A126" s="1" t="s">
        <v>24</v>
      </c>
      <c r="B126" s="1">
        <v>2014</v>
      </c>
      <c r="C126" s="1">
        <v>63469</v>
      </c>
      <c r="D126" s="1">
        <v>11489</v>
      </c>
      <c r="E126" s="5">
        <v>729195341</v>
      </c>
      <c r="F126" s="6">
        <v>167.06</v>
      </c>
      <c r="G126" s="1">
        <v>-15.289099182227</v>
      </c>
      <c r="H126" s="1">
        <v>32.46344</v>
      </c>
    </row>
    <row r="127" spans="1:9">
      <c r="A127" s="1" t="s">
        <v>24</v>
      </c>
      <c r="B127" s="1">
        <v>2015</v>
      </c>
      <c r="C127" s="1">
        <v>67503</v>
      </c>
      <c r="D127" s="1">
        <v>11678</v>
      </c>
      <c r="E127" s="5">
        <v>788300034</v>
      </c>
      <c r="F127" s="6">
        <v>160.69</v>
      </c>
      <c r="G127" s="1">
        <v>-15.4059122861073</v>
      </c>
      <c r="H127" s="1">
        <v>37.9</v>
      </c>
    </row>
    <row r="128" spans="1:9">
      <c r="A128" s="1" t="s">
        <v>24</v>
      </c>
      <c r="B128" s="1">
        <v>2016</v>
      </c>
      <c r="C128" s="1">
        <v>74016</v>
      </c>
      <c r="D128" s="1">
        <v>11908</v>
      </c>
      <c r="E128" s="5">
        <v>881382528</v>
      </c>
      <c r="F128" s="6">
        <v>65.03</v>
      </c>
      <c r="G128" s="1">
        <v>-16.4221535852858</v>
      </c>
      <c r="H128" s="1">
        <v>34.7</v>
      </c>
    </row>
    <row r="129" spans="1:9">
      <c r="A129" s="1" t="s">
        <v>24</v>
      </c>
      <c r="B129" s="1">
        <v>2017</v>
      </c>
      <c r="C129" s="1">
        <v>80932</v>
      </c>
      <c r="D129" s="1">
        <v>12141</v>
      </c>
      <c r="E129" s="5">
        <v>982595412</v>
      </c>
      <c r="F129" s="6">
        <v>67.48</v>
      </c>
      <c r="G129" s="1">
        <v>-16.4938767507653</v>
      </c>
      <c r="H129" s="1">
        <v>26.5</v>
      </c>
    </row>
    <row r="130" spans="1:9">
      <c r="A130" s="1" t="s">
        <v>24</v>
      </c>
      <c r="B130" s="1">
        <v>2018</v>
      </c>
      <c r="C130" s="1">
        <v>86412</v>
      </c>
      <c r="D130" s="1">
        <v>12348</v>
      </c>
      <c r="E130" s="5">
        <v>1067015376</v>
      </c>
      <c r="F130" s="6">
        <v>64.43</v>
      </c>
      <c r="G130" s="1">
        <v>-16.6225518565084</v>
      </c>
      <c r="H130" s="1">
        <v>42.02724</v>
      </c>
    </row>
    <row r="131" spans="1:9">
      <c r="A131" s="1" t="s">
        <v>24</v>
      </c>
      <c r="B131" s="1">
        <v>2019</v>
      </c>
      <c r="C131" s="1">
        <v>94172</v>
      </c>
      <c r="D131" s="1">
        <v>12489</v>
      </c>
      <c r="E131" s="5">
        <v>1176114108</v>
      </c>
      <c r="F131" s="6">
        <v>63.48</v>
      </c>
      <c r="G131" s="1">
        <v>-16.7347568166697</v>
      </c>
      <c r="H131" s="1">
        <v>36.32724</v>
      </c>
    </row>
    <row r="132" spans="1:9">
      <c r="A132" s="1" t="s">
        <v>24</v>
      </c>
      <c r="B132" s="1">
        <v>2020</v>
      </c>
      <c r="C132" s="1">
        <v>88210</v>
      </c>
      <c r="D132" s="1">
        <v>12624</v>
      </c>
      <c r="E132" s="5">
        <v>1113563040</v>
      </c>
      <c r="F132" s="6">
        <v>161.31</v>
      </c>
      <c r="G132" s="1">
        <v>-15.7475026778488</v>
      </c>
      <c r="H132" s="1">
        <v>31.70156</v>
      </c>
    </row>
    <row r="133" spans="1:9">
      <c r="A133" s="1" t="s">
        <v>24</v>
      </c>
      <c r="B133" s="1">
        <v>2021</v>
      </c>
      <c r="C133" s="1">
        <v>98285</v>
      </c>
      <c r="D133" s="1">
        <v>12684</v>
      </c>
      <c r="E133" s="5">
        <v>1246646940</v>
      </c>
      <c r="F133" s="6">
        <v>158.08</v>
      </c>
      <c r="G133" s="1">
        <v>-15.8806221020506</v>
      </c>
      <c r="H133" s="1">
        <v>23.547</v>
      </c>
    </row>
    <row r="134" spans="1:9">
      <c r="A134" s="1" t="s">
        <v>24</v>
      </c>
      <c r="B134" s="1">
        <v>2022</v>
      </c>
      <c r="C134" s="1">
        <v>101905</v>
      </c>
      <c r="D134" s="1">
        <v>12657</v>
      </c>
      <c r="E134" s="5">
        <v>1289811585</v>
      </c>
      <c r="F134" s="6">
        <v>161.85</v>
      </c>
      <c r="G134" s="1">
        <v>-15.8910920061407</v>
      </c>
      <c r="H134" s="1">
        <v>38.06075</v>
      </c>
    </row>
    <row r="135" spans="1:9">
      <c r="A135" s="1" t="s">
        <v>24</v>
      </c>
      <c r="B135" s="1">
        <v>2023</v>
      </c>
      <c r="C135" s="1">
        <v>106985</v>
      </c>
      <c r="D135" s="1">
        <v>12706</v>
      </c>
      <c r="E135" s="5">
        <v>1359351410</v>
      </c>
      <c r="F135" s="6">
        <v>188.07</v>
      </c>
      <c r="G135" s="1">
        <v>-15.7934592845735</v>
      </c>
      <c r="H135" s="1">
        <v>15.88685</v>
      </c>
    </row>
    <row r="136" spans="1:9">
      <c r="A136" s="1" t="s">
        <v>24</v>
      </c>
      <c r="B136" s="1">
        <v>2024</v>
      </c>
      <c r="C136" s="1">
        <v>111146</v>
      </c>
      <c r="D136" s="1">
        <v>12780</v>
      </c>
      <c r="E136" s="5">
        <v>1420445880</v>
      </c>
      <c r="F136" s="6">
        <v>170.65</v>
      </c>
      <c r="G136" s="1">
        <v>-15.9346219839192</v>
      </c>
      <c r="H136" s="1">
        <v>21.73255</v>
      </c>
      <c r="I136" s="1"/>
    </row>
    <row r="137" spans="1:9">
      <c r="A137" s="1" t="s">
        <v>25</v>
      </c>
      <c r="B137" s="1">
        <v>2010</v>
      </c>
      <c r="C137" s="1">
        <v>20219</v>
      </c>
      <c r="D137" s="1">
        <v>4610</v>
      </c>
      <c r="E137" s="5">
        <v>93209590</v>
      </c>
      <c r="F137" s="6">
        <v>93.7</v>
      </c>
      <c r="G137" s="1">
        <v>-13.8102629821136</v>
      </c>
    </row>
    <row r="138" spans="1:9">
      <c r="A138" s="1" t="s">
        <v>25</v>
      </c>
      <c r="B138" s="1">
        <v>2011</v>
      </c>
      <c r="C138" s="1">
        <v>25326</v>
      </c>
      <c r="D138" s="1">
        <v>4655</v>
      </c>
      <c r="E138" s="5">
        <v>117892530</v>
      </c>
      <c r="F138" s="6">
        <v>79.33</v>
      </c>
      <c r="G138" s="1">
        <v>-14.2116676374078</v>
      </c>
      <c r="H138" s="1">
        <v>9.28451</v>
      </c>
    </row>
    <row r="139" spans="1:9">
      <c r="A139" s="1" t="s">
        <v>25</v>
      </c>
      <c r="B139" s="1">
        <v>2012</v>
      </c>
      <c r="C139" s="1">
        <v>27952</v>
      </c>
      <c r="D139" s="1">
        <v>4694</v>
      </c>
      <c r="E139" s="5">
        <v>131206688</v>
      </c>
      <c r="F139" s="6">
        <v>78.03</v>
      </c>
      <c r="G139" s="1">
        <v>-14.3351910406561</v>
      </c>
      <c r="H139" s="1">
        <v>8.62298</v>
      </c>
    </row>
    <row r="140" spans="1:9">
      <c r="A140" s="1" t="s">
        <v>25</v>
      </c>
      <c r="B140" s="1">
        <v>2013</v>
      </c>
      <c r="C140" s="1">
        <v>30741</v>
      </c>
      <c r="D140" s="1">
        <v>4731</v>
      </c>
      <c r="E140" s="5">
        <v>145435671</v>
      </c>
      <c r="F140" s="6">
        <v>75.94</v>
      </c>
      <c r="G140" s="1">
        <v>-14.4653008682953</v>
      </c>
      <c r="H140" s="1">
        <v>8.56438</v>
      </c>
    </row>
    <row r="141" spans="1:9">
      <c r="A141" s="1" t="s">
        <v>25</v>
      </c>
      <c r="B141" s="1">
        <v>2014</v>
      </c>
      <c r="C141" s="1">
        <v>33090</v>
      </c>
      <c r="D141" s="1">
        <v>4770</v>
      </c>
      <c r="E141" s="5">
        <v>157839300</v>
      </c>
      <c r="F141" s="6">
        <v>74.4</v>
      </c>
      <c r="G141" s="1">
        <v>-14.567632042959</v>
      </c>
      <c r="H141" s="1">
        <v>18.32182</v>
      </c>
    </row>
    <row r="142" spans="1:9">
      <c r="A142" s="1" t="s">
        <v>25</v>
      </c>
      <c r="B142" s="1">
        <v>2015</v>
      </c>
      <c r="C142" s="1">
        <v>35190</v>
      </c>
      <c r="D142" s="1">
        <v>4811</v>
      </c>
      <c r="E142" s="5">
        <v>169299090</v>
      </c>
      <c r="F142" s="6">
        <v>71.12</v>
      </c>
      <c r="G142" s="1">
        <v>-14.6828088808094</v>
      </c>
      <c r="H142" s="1">
        <v>17.9</v>
      </c>
    </row>
    <row r="143" spans="1:9">
      <c r="A143" s="1" t="s">
        <v>25</v>
      </c>
      <c r="B143" s="1">
        <v>2016</v>
      </c>
      <c r="C143" s="1">
        <v>38027</v>
      </c>
      <c r="D143" s="1">
        <v>4857</v>
      </c>
      <c r="E143" s="5">
        <v>184697139</v>
      </c>
      <c r="F143" s="6">
        <v>30.55</v>
      </c>
      <c r="G143" s="1">
        <v>-15.6148632694481</v>
      </c>
      <c r="H143" s="1">
        <v>24.7</v>
      </c>
    </row>
    <row r="144" spans="1:9">
      <c r="A144" s="1" t="s">
        <v>25</v>
      </c>
      <c r="B144" s="1">
        <v>2017</v>
      </c>
      <c r="C144" s="1">
        <v>38102</v>
      </c>
      <c r="D144" s="1">
        <v>4907</v>
      </c>
      <c r="E144" s="5">
        <v>186966514</v>
      </c>
      <c r="F144" s="6">
        <v>32.64</v>
      </c>
      <c r="G144" s="1">
        <v>-15.5609015591694</v>
      </c>
      <c r="H144" s="1">
        <v>13</v>
      </c>
    </row>
    <row r="145" spans="1:9">
      <c r="A145" s="1" t="s">
        <v>25</v>
      </c>
      <c r="B145" s="1">
        <v>2018</v>
      </c>
      <c r="C145" s="1">
        <v>41489.16522</v>
      </c>
      <c r="D145" s="1">
        <v>4947</v>
      </c>
      <c r="E145" s="5">
        <v>205246900.34334</v>
      </c>
      <c r="F145" s="6">
        <v>32.17</v>
      </c>
      <c r="G145" s="1">
        <v>-15.6686898630724</v>
      </c>
      <c r="H145" s="1">
        <v>7.58473</v>
      </c>
    </row>
    <row r="146" spans="1:9">
      <c r="A146" s="1" t="s">
        <v>25</v>
      </c>
      <c r="B146" s="1">
        <v>2019</v>
      </c>
      <c r="C146" s="1">
        <v>42964</v>
      </c>
      <c r="D146" s="1">
        <v>4982</v>
      </c>
      <c r="E146" s="5">
        <v>214046648</v>
      </c>
      <c r="F146" s="6">
        <v>32.73</v>
      </c>
      <c r="G146" s="1">
        <v>-15.693412442027</v>
      </c>
      <c r="H146" s="1">
        <v>8.389056</v>
      </c>
    </row>
    <row r="147" spans="1:9">
      <c r="A147" s="1" t="s">
        <v>25</v>
      </c>
      <c r="B147" s="1">
        <v>2020</v>
      </c>
      <c r="C147" s="1">
        <v>44309</v>
      </c>
      <c r="D147" s="1">
        <v>5019</v>
      </c>
      <c r="E147" s="5">
        <v>222386871</v>
      </c>
      <c r="F147" s="6">
        <v>103.04</v>
      </c>
      <c r="G147" s="1">
        <v>-14.5848118229687</v>
      </c>
      <c r="H147" s="1">
        <v>4.86202</v>
      </c>
    </row>
    <row r="148" spans="1:9">
      <c r="A148" s="1" t="s">
        <v>25</v>
      </c>
      <c r="B148" s="1">
        <v>2021</v>
      </c>
      <c r="C148" s="1">
        <v>49206</v>
      </c>
      <c r="D148" s="1">
        <v>5037</v>
      </c>
      <c r="E148" s="5">
        <v>247850622</v>
      </c>
      <c r="F148" s="6">
        <v>95.82</v>
      </c>
      <c r="G148" s="1">
        <v>-14.7658653605551</v>
      </c>
      <c r="H148" s="1">
        <v>3.5534</v>
      </c>
    </row>
    <row r="149" spans="1:9">
      <c r="A149" s="1" t="s">
        <v>25</v>
      </c>
      <c r="B149" s="1">
        <v>2022</v>
      </c>
      <c r="C149" s="1">
        <v>52164</v>
      </c>
      <c r="D149" s="1">
        <v>5047</v>
      </c>
      <c r="E149" s="5">
        <v>263271708</v>
      </c>
      <c r="F149" s="6">
        <v>93.44</v>
      </c>
      <c r="G149" s="1">
        <v>-14.8513776480371</v>
      </c>
      <c r="H149" s="1">
        <v>11.95999</v>
      </c>
    </row>
    <row r="150" spans="1:9">
      <c r="A150" s="1" t="s">
        <v>25</v>
      </c>
      <c r="B150" s="1">
        <v>2023</v>
      </c>
      <c r="C150" s="1">
        <v>54005</v>
      </c>
      <c r="D150" s="1">
        <v>5027</v>
      </c>
      <c r="E150" s="5">
        <v>271483135</v>
      </c>
      <c r="F150" s="6">
        <v>103.53</v>
      </c>
      <c r="G150" s="1">
        <v>-14.7795491517671</v>
      </c>
      <c r="H150" s="1">
        <v>2.28411</v>
      </c>
    </row>
    <row r="151" spans="1:9">
      <c r="A151" s="1" t="s">
        <v>25</v>
      </c>
      <c r="B151" s="1">
        <v>2024</v>
      </c>
      <c r="C151" s="1">
        <v>57071</v>
      </c>
      <c r="D151" s="1">
        <v>5013</v>
      </c>
      <c r="E151" s="5">
        <v>286096923</v>
      </c>
      <c r="F151" s="6">
        <v>100.59</v>
      </c>
      <c r="G151" s="1">
        <v>-14.8607883538355</v>
      </c>
      <c r="H151" s="1">
        <v>7.05885</v>
      </c>
      <c r="I151" s="1"/>
    </row>
    <row r="152" spans="1:9">
      <c r="A152" s="1" t="s">
        <v>26</v>
      </c>
      <c r="B152" s="1">
        <v>2010</v>
      </c>
      <c r="C152" s="1">
        <v>23831</v>
      </c>
      <c r="D152" s="1">
        <v>869</v>
      </c>
      <c r="E152" s="5">
        <v>20709139</v>
      </c>
      <c r="F152" s="6">
        <v>9.2</v>
      </c>
      <c r="G152" s="1">
        <v>-14.6268821743338</v>
      </c>
    </row>
    <row r="153" spans="1:9">
      <c r="A153" s="1" t="s">
        <v>26</v>
      </c>
      <c r="B153" s="1">
        <v>2011</v>
      </c>
      <c r="C153" s="1">
        <v>28898</v>
      </c>
      <c r="D153" s="1">
        <v>890</v>
      </c>
      <c r="E153" s="5">
        <v>25719220</v>
      </c>
      <c r="F153" s="6">
        <v>19.99</v>
      </c>
      <c r="G153" s="1">
        <v>-14.0675169817674</v>
      </c>
      <c r="H153" s="1">
        <v>0.43535</v>
      </c>
    </row>
    <row r="154" spans="1:9">
      <c r="A154" s="1" t="s">
        <v>26</v>
      </c>
      <c r="B154" s="1">
        <v>2012</v>
      </c>
      <c r="C154" s="1">
        <v>32377</v>
      </c>
      <c r="D154" s="1">
        <v>910</v>
      </c>
      <c r="E154" s="5">
        <v>29463070</v>
      </c>
      <c r="F154" s="6">
        <v>19.74</v>
      </c>
      <c r="G154" s="1">
        <v>-14.2160011386611</v>
      </c>
      <c r="H154" s="1">
        <v>2.75336</v>
      </c>
    </row>
    <row r="155" spans="1:9">
      <c r="A155" s="1" t="s">
        <v>26</v>
      </c>
      <c r="B155" s="1">
        <v>2013</v>
      </c>
      <c r="C155" s="1">
        <v>35663</v>
      </c>
      <c r="D155" s="1">
        <v>920</v>
      </c>
      <c r="E155" s="5">
        <v>32809960</v>
      </c>
      <c r="F155" s="6">
        <v>19.44</v>
      </c>
      <c r="G155" s="1">
        <v>-14.3389098867637</v>
      </c>
      <c r="H155" s="1">
        <v>4.82794</v>
      </c>
    </row>
    <row r="156" spans="1:9">
      <c r="A156" s="1" t="s">
        <v>26</v>
      </c>
      <c r="B156" s="1">
        <v>2014</v>
      </c>
      <c r="C156" s="1">
        <v>38924</v>
      </c>
      <c r="D156" s="1">
        <v>936</v>
      </c>
      <c r="E156" s="5">
        <v>36432864</v>
      </c>
      <c r="F156" s="6">
        <v>19.6</v>
      </c>
      <c r="G156" s="1">
        <v>-14.435452216183</v>
      </c>
      <c r="H156" s="1">
        <v>3.50942</v>
      </c>
    </row>
    <row r="157" spans="1:9">
      <c r="A157" s="1" t="s">
        <v>26</v>
      </c>
      <c r="B157" s="1">
        <v>2015</v>
      </c>
      <c r="C157" s="1">
        <v>40818</v>
      </c>
      <c r="D157" s="1">
        <v>945</v>
      </c>
      <c r="E157" s="5">
        <v>38573010</v>
      </c>
      <c r="F157" s="6">
        <v>18.79</v>
      </c>
      <c r="G157" s="1">
        <v>-14.5347385536415</v>
      </c>
      <c r="H157" s="1">
        <v>5.6</v>
      </c>
    </row>
    <row r="158" spans="1:9">
      <c r="A158" s="1" t="s">
        <v>26</v>
      </c>
      <c r="B158" s="1">
        <v>2016</v>
      </c>
      <c r="C158" s="1">
        <v>44347</v>
      </c>
      <c r="D158" s="1">
        <v>957</v>
      </c>
      <c r="E158" s="5">
        <v>42440079</v>
      </c>
      <c r="F158" s="6">
        <v>4.9</v>
      </c>
      <c r="G158" s="1">
        <v>-15.9743685280432</v>
      </c>
      <c r="H158" s="1">
        <v>1.3</v>
      </c>
    </row>
    <row r="159" spans="1:9">
      <c r="A159" s="1" t="s">
        <v>26</v>
      </c>
      <c r="B159" s="1">
        <v>2017</v>
      </c>
      <c r="C159" s="1">
        <v>48430</v>
      </c>
      <c r="D159" s="1">
        <v>972</v>
      </c>
      <c r="E159" s="5">
        <v>47073960</v>
      </c>
      <c r="F159" s="6">
        <v>5.15</v>
      </c>
      <c r="G159" s="1">
        <v>-16.0282338251821</v>
      </c>
      <c r="H159" s="1">
        <v>1.6</v>
      </c>
    </row>
    <row r="160" spans="1:9">
      <c r="A160" s="1" t="s">
        <v>26</v>
      </c>
      <c r="B160" s="1">
        <v>2018</v>
      </c>
      <c r="C160" s="1">
        <v>51955.29225</v>
      </c>
      <c r="D160" s="1">
        <v>982</v>
      </c>
      <c r="E160" s="5">
        <v>51020096.9895</v>
      </c>
      <c r="F160" s="6">
        <v>4.95</v>
      </c>
      <c r="G160" s="1">
        <v>-16.1483425951049</v>
      </c>
      <c r="H160" s="1">
        <v>3.42531</v>
      </c>
    </row>
    <row r="161" spans="1:9">
      <c r="A161" s="1" t="s">
        <v>26</v>
      </c>
      <c r="B161" s="1">
        <v>2019</v>
      </c>
      <c r="C161" s="1">
        <v>56506.83</v>
      </c>
      <c r="D161" s="1">
        <v>995</v>
      </c>
      <c r="E161" s="5">
        <v>56224295.85</v>
      </c>
      <c r="F161" s="6">
        <v>4.49</v>
      </c>
      <c r="G161" s="1">
        <v>-16.3430068301887</v>
      </c>
      <c r="H161" s="1">
        <v>1.67297066666667</v>
      </c>
    </row>
    <row r="162" spans="1:9">
      <c r="A162" s="1" t="s">
        <v>26</v>
      </c>
      <c r="B162" s="1">
        <v>2020</v>
      </c>
      <c r="C162" s="1">
        <v>55131</v>
      </c>
      <c r="D162" s="1">
        <v>1012</v>
      </c>
      <c r="E162" s="5">
        <v>55792572</v>
      </c>
      <c r="F162" s="6">
        <v>17.28</v>
      </c>
      <c r="G162" s="1">
        <v>-14.987601536835</v>
      </c>
      <c r="H162" s="1">
        <v>0.62579</v>
      </c>
    </row>
    <row r="163" spans="1:9">
      <c r="A163" s="1" t="s">
        <v>26</v>
      </c>
      <c r="B163" s="1">
        <v>2021</v>
      </c>
      <c r="C163" s="1">
        <v>63707</v>
      </c>
      <c r="D163" s="1">
        <v>1020</v>
      </c>
      <c r="E163" s="5">
        <v>64981140</v>
      </c>
      <c r="F163" s="6">
        <v>17.17</v>
      </c>
      <c r="G163" s="1">
        <v>-15.1464439570016</v>
      </c>
      <c r="H163" s="1">
        <v>0.0476</v>
      </c>
    </row>
    <row r="164" spans="1:9">
      <c r="A164" s="1" t="s">
        <v>26</v>
      </c>
      <c r="B164" s="1">
        <v>2022</v>
      </c>
      <c r="C164" s="1">
        <v>66602</v>
      </c>
      <c r="D164" s="1">
        <v>1027</v>
      </c>
      <c r="E164" s="5">
        <v>68400254</v>
      </c>
      <c r="F164" s="6">
        <v>18.42</v>
      </c>
      <c r="G164" s="1">
        <v>-15.127450065209</v>
      </c>
      <c r="H164" s="1">
        <v>1.10909</v>
      </c>
    </row>
    <row r="165" spans="1:9">
      <c r="A165" s="1" t="s">
        <v>26</v>
      </c>
      <c r="B165" s="1">
        <v>2023</v>
      </c>
      <c r="C165" s="1">
        <v>72958</v>
      </c>
      <c r="D165" s="1">
        <v>1043</v>
      </c>
      <c r="E165" s="5">
        <v>76095194</v>
      </c>
      <c r="F165" s="6">
        <v>19.53</v>
      </c>
      <c r="G165" s="1">
        <v>-15.175543922204</v>
      </c>
      <c r="H165" s="1">
        <v>0.75993</v>
      </c>
    </row>
    <row r="166" spans="1:9">
      <c r="A166" s="1" t="s">
        <v>26</v>
      </c>
      <c r="B166" s="1">
        <v>2024</v>
      </c>
      <c r="C166" s="1">
        <v>75903</v>
      </c>
      <c r="D166" s="1">
        <v>1048</v>
      </c>
      <c r="E166" s="5">
        <v>79546344</v>
      </c>
      <c r="F166" s="6">
        <v>17.6</v>
      </c>
      <c r="G166" s="1">
        <v>-15.3239514511312</v>
      </c>
      <c r="H166" s="1">
        <v>0.14973</v>
      </c>
      <c r="I16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结果</vt:lpstr>
      <vt:lpstr>LN(COD) - LN(GDP总）</vt:lpstr>
      <vt:lpstr>滞后一期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 h</dc:creator>
  <cp:lastModifiedBy>Q</cp:lastModifiedBy>
  <dcterms:created xsi:type="dcterms:W3CDTF">2026-04-05T03:17:00Z</dcterms:created>
  <dcterms:modified xsi:type="dcterms:W3CDTF">2026-04-10T05:50:38Z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939F4530EBA849359461E2C43323CD43_12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